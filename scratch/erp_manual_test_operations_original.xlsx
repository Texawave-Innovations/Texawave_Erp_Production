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kkin\Downloads\"/>
    </mc:Choice>
  </mc:AlternateContent>
  <xr:revisionPtr revIDLastSave="0" documentId="13_ncr:1_{6C0FB8F4-E0C7-467D-B8FB-CB37FC996447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Dashboard" sheetId="1" r:id="rId1"/>
    <sheet name="Payments Received API" sheetId="2" r:id="rId2"/>
    <sheet name="Expenses API" sheetId="3" r:id="rId3"/>
    <sheet name="Pending API Checks" sheetId="4" r:id="rId4"/>
    <sheet name="How to Update" sheetId="5" r:id="rId5"/>
    <sheet name="Project Inf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4" l="1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14" i="3"/>
  <c r="I13" i="3"/>
  <c r="I12" i="3"/>
  <c r="I11" i="3"/>
  <c r="I10" i="3"/>
  <c r="I9" i="3"/>
  <c r="I8" i="3"/>
  <c r="I7" i="3"/>
  <c r="I6" i="3"/>
  <c r="I5" i="3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E15" i="1"/>
  <c r="C15" i="1"/>
  <c r="E14" i="1"/>
  <c r="C14" i="1"/>
  <c r="E13" i="1"/>
  <c r="C13" i="1"/>
  <c r="E12" i="1"/>
  <c r="C12" i="1"/>
  <c r="K11" i="1"/>
  <c r="J11" i="1"/>
  <c r="I11" i="1"/>
  <c r="H11" i="1"/>
  <c r="E11" i="1"/>
  <c r="C11" i="1"/>
  <c r="K10" i="1"/>
  <c r="J10" i="1"/>
  <c r="I10" i="1"/>
  <c r="H10" i="1"/>
  <c r="E10" i="1"/>
  <c r="C10" i="1"/>
  <c r="K9" i="1"/>
  <c r="J9" i="1"/>
  <c r="I9" i="1"/>
  <c r="H9" i="1"/>
  <c r="C9" i="1"/>
  <c r="L5" i="1"/>
  <c r="J5" i="1"/>
  <c r="H5" i="1"/>
  <c r="D5" i="1"/>
  <c r="B5" i="1"/>
  <c r="C9" i="6" s="1"/>
  <c r="D12" i="1" l="1"/>
  <c r="D14" i="1"/>
  <c r="D13" i="1"/>
  <c r="D15" i="1"/>
  <c r="H12" i="1"/>
  <c r="D11" i="1"/>
  <c r="D10" i="1"/>
  <c r="K12" i="1"/>
  <c r="J12" i="1"/>
  <c r="F5" i="1"/>
  <c r="M11" i="1"/>
  <c r="L11" i="1"/>
  <c r="M10" i="1"/>
  <c r="L10" i="1"/>
  <c r="M9" i="1"/>
  <c r="L9" i="1"/>
  <c r="I12" i="1"/>
  <c r="C16" i="1"/>
  <c r="E9" i="1"/>
  <c r="E16" i="1" s="1"/>
  <c r="D9" i="1"/>
  <c r="D16" i="1" l="1"/>
  <c r="L12" i="1"/>
  <c r="M12" i="1"/>
</calcChain>
</file>

<file path=xl/sharedStrings.xml><?xml version="1.0" encoding="utf-8"?>
<sst xmlns="http://schemas.openxmlformats.org/spreadsheetml/2006/main" count="529" uniqueCount="377">
  <si>
    <t xml:space="preserve">  TexaWave ERP - Finance API Test Status Dashboard</t>
  </si>
  <si>
    <t xml:space="preserve">  Suite: Postman Finance Operations (Payments Received, Expenses &amp; Security Checks)   |   As of 24-Oct-2026</t>
  </si>
  <si>
    <t>Total Tasks</t>
  </si>
  <si>
    <t>Completed</t>
  </si>
  <si>
    <t>% Tests Done</t>
  </si>
  <si>
    <t>Blocked</t>
  </si>
  <si>
    <t>Need to Discuss / Fail</t>
  </si>
  <si>
    <t>Pending</t>
  </si>
  <si>
    <t>Status Breakdown</t>
  </si>
  <si>
    <t>API Suite Breakdown (Live Rollup)</t>
  </si>
  <si>
    <t>Status</t>
  </si>
  <si>
    <t>Tasks</t>
  </si>
  <si>
    <t>% of Tasks</t>
  </si>
  <si>
    <t>Completed Qty</t>
  </si>
  <si>
    <t>API Suite / Module</t>
  </si>
  <si>
    <t>Total Checks</t>
  </si>
  <si>
    <t>% Done</t>
  </si>
  <si>
    <t>Suite Status</t>
  </si>
  <si>
    <t>Payments Received API</t>
  </si>
  <si>
    <t>In Progress</t>
  </si>
  <si>
    <t>Expenses API</t>
  </si>
  <si>
    <t>In Review</t>
  </si>
  <si>
    <t>Pending API Checks</t>
  </si>
  <si>
    <t>Total All Suites</t>
  </si>
  <si>
    <t>Need to Discuss</t>
  </si>
  <si>
    <t>Not Started</t>
  </si>
  <si>
    <t>Total</t>
  </si>
  <si>
    <t xml:space="preserve">  TexaWave ERP - Payments Received API Tracker (Postman Manual Test Cases)</t>
  </si>
  <si>
    <t xml:space="preserve">  Do not edit the navy columns (API test spec). Update Status ('Completed' button), % Done, Actual Result / Notes, and Last Updated. Dashboard updates automatically.</t>
  </si>
  <si>
    <t>Test ID</t>
  </si>
  <si>
    <t>Test Method</t>
  </si>
  <si>
    <t>URL</t>
  </si>
  <si>
    <t>JSON Code for Test</t>
  </si>
  <si>
    <t>Expected Result</t>
  </si>
  <si>
    <t>Explanation / Steps to Do</t>
  </si>
  <si>
    <t>Prerequisites / Variables</t>
  </si>
  <si>
    <t>Actual Result / Notes</t>
  </si>
  <si>
    <t>Last Updated</t>
  </si>
  <si>
    <t>PR-001</t>
  </si>
  <si>
    <t>POST</t>
  </si>
  <si>
    <t>{{baseUrl}}/auth/login</t>
  </si>
  <si>
    <t>{
  "organizationSlug": "{{organizationSlug}}",
  "email": "{{email}}",
  "password": "{{password}}"
}</t>
  </si>
  <si>
    <t>Expected per project guide: 201 Created; response contains data.accessToken.</t>
  </si>
  <si>
    <t>Set Body → raw → JSON, enter your real local credentials, click Send, save data.accessToken as accessToken. Check current auth controller if status differs.</t>
  </si>
  <si>
    <t>baseUrl, organizationSlug, email, password</t>
  </si>
  <si>
    <t>PR-002</t>
  </si>
  <si>
    <t>GET</t>
  </si>
  <si>
    <t>{{baseUrl}}/finance-settings/master-list-items?category=payment_mode&amp;limit=10</t>
  </si>
  <si>
    <t>(No body)</t>
  </si>
  <si>
    <t>200 OK with payment mode items; save a real item id as paymentModeId.</t>
  </si>
  <si>
    <t>Add Bearer token. Click Send. Pick an active payment mode from the response; do not guess its ID.</t>
  </si>
  <si>
    <t>accessToken; finance settings read permission</t>
  </si>
  <si>
    <t>PR-003</t>
  </si>
  <si>
    <t>{{baseUrl}}/finance/bank-accounts</t>
  </si>
  <si>
    <t>Expected 200 OK if route and permission are enabled; save an eligible bankAccountId.</t>
  </si>
  <si>
    <t>Send with Bearer token. If no account exists, mark BLOCKED and ask for a test account to be seeded.</t>
  </si>
  <si>
    <t>accessToken; check current controller/permission</t>
  </si>
  <si>
    <t>PR-004</t>
  </si>
  <si>
    <t>{{baseUrl}}/crm/accounts?type=CUSTOMER</t>
  </si>
  <si>
    <t>Expected 200 OK if this route/query matches the current CRM API; save a real customerId.</t>
  </si>
  <si>
    <t>Send with Bearer token. If route differs, inspect current CRM controller and update URL; do not guess IDs.</t>
  </si>
  <si>
    <t>accessToken; CRM read permission</t>
  </si>
  <si>
    <t>PR-005</t>
  </si>
  <si>
    <t>{{baseUrl}}/finance/payments-received</t>
  </si>
  <si>
    <t>{
  "paymentDate": "2026-10-23",
  "amount": 8000.00,
  "paymentModeId": {{paymentModeId}},
  "customerName": "Globex Corporation",
  "referenceNumber": "TEST-NEFT-001",
  "notes": "Postman test - customer advance",
  "status": "DRAFT",
  "allocations": [
    {"invoiceReference": "TEST-INV-0044", "allocatedAmount": 3000.00, "notes": "Test partial allocation"},
    {"invoiceReference": "TEST-INV-0045", "allocatedAmount": 2000.00, "notes": "Test second allocation"}
  ]
}</t>
  </si>
  <si>
    <t>Expected 201 Created per guide. amount=8000, allocatedAmount=5000, unallocatedAmount=3000, status=DRAFT. Save data.id as paymentReceivedId and first allocation id as allocationId.</t>
  </si>
  <si>
    <t>Use test data. Important: current DTO may require customerId instead of customerName and may require bankAccountId. Check current DTO; adapt body accordingly before sending.</t>
  </si>
  <si>
    <t>accessToken, paymentModeId; customerId/bankAccountId if required</t>
  </si>
  <si>
    <t>PR-006</t>
  </si>
  <si>
    <t>{{baseUrl}}/finance/payments-received/{{paymentReceivedId}}</t>
  </si>
  <si>
    <t>200 OK; id matches and details/allocations persist.</t>
  </si>
  <si>
    <t>Run after create succeeds. Compare amount, status, allocation rows and totals.</t>
  </si>
  <si>
    <t>paymentReceivedId; read permission</t>
  </si>
  <si>
    <t>PR-007</t>
  </si>
  <si>
    <t>{{baseUrl}}/finance/payments-received?page=1&amp;limit=10&amp;status=DRAFT</t>
  </si>
  <si>
    <t>200 OK with paginated list and metadata; created draft should appear.</t>
  </si>
  <si>
    <t>Find the created receipt in the result and check pagination metadata.</t>
  </si>
  <si>
    <t>read permission</t>
  </si>
  <si>
    <t>PR-008</t>
  </si>
  <si>
    <t>PATCH</t>
  </si>
  <si>
    <t>{
  "referenceNumber": "TEST-NEFT-UPDATED-001",
  "notes": "Updated reference during Postman test"
}</t>
  </si>
  <si>
    <t>Expected 200 OK; reference and notes updated, totals unchanged.</t>
  </si>
  <si>
    <t>Use a DRAFT test receipt. Send JSON, then GET the receipt again to verify persistence.</t>
  </si>
  <si>
    <t>paymentReceivedId; write permission</t>
  </si>
  <si>
    <t>PR-009</t>
  </si>
  <si>
    <t>{{baseUrl}}/finance/payments-received/{{paymentReceivedId}}/allocations</t>
  </si>
  <si>
    <t>{
  "invoiceReference": "TEST-INV-0046",
  "allocatedAmount": 500.00,
  "notes": "Additional allocation test"
}</t>
  </si>
  <si>
    <t>Expected 201 per guide. If initial allocation was 5000, allocatedAmount=5500 and unallocatedAmount=2500.</t>
  </si>
  <si>
    <t>Ensure at least 500 remains unallocated. Send; record actual response shape because audit reported frontend/backend return-type mismatch.</t>
  </si>
  <si>
    <t>paymentReceivedId; write permission; enough unallocated amount</t>
  </si>
  <si>
    <t>PR-010</t>
  </si>
  <si>
    <t>DELETE</t>
  </si>
  <si>
    <t>{{baseUrl}}/finance/payments-received/{{paymentReceivedId}}/allocations/{{allocationId}}</t>
  </si>
  <si>
    <t>Expected 204 No Content; allocation removed and unallocated balance increases by its amount.</t>
  </si>
  <si>
    <t>Use allocationId from create response. Then GET receipt and check totals. Test record only.</t>
  </si>
  <si>
    <t>paymentReceivedId, allocationId; write permission</t>
  </si>
  <si>
    <t>PR-011</t>
  </si>
  <si>
    <t>{{baseUrl}}/finance/payments-received/{{paymentReceivedId}}/confirm</t>
  </si>
  <si>
    <t>{}</t>
  </si>
  <si>
    <t>Expected per guide: 201 Created, status=CONFIRMED, journalEntryId exists; journal debits equal credits.</t>
  </si>
  <si>
    <t>Only use a dedicated test receipt in a safe dev DB. Send {}. Inspect journal details if exposed. Never do this on production data.</t>
  </si>
  <si>
    <t>paymentReceivedId; write permission; safe test DB</t>
  </si>
  <si>
    <t>PR-012</t>
  </si>
  <si>
    <t>Expected 422 or documented conflict; second confirmation must not create a duplicate journal.</t>
  </si>
  <si>
    <t>Run only after test receipt was confirmed. Send again and verify rejection/no duplicate journal.</t>
  </si>
  <si>
    <t>Already-confirmed test receipt</t>
  </si>
  <si>
    <t>PR-013</t>
  </si>
  <si>
    <t>{{baseUrl}}/finance/payments-received/{{paymentReceivedId}}/void</t>
  </si>
  <si>
    <t>Expected per guide: 201 Created, status=VOID, reversal journal exists and balances are reversed.</t>
  </si>
  <si>
    <t>Only run on a confirmed test receipt in safe dev DB. Inspect original and reversal journals.</t>
  </si>
  <si>
    <t>Confirmed test receipt; write permission</t>
  </si>
  <si>
    <t>PR-014</t>
  </si>
  <si>
    <t>Expected 204 No Content; soft-delete allowed for VOID receipt.</t>
  </si>
  <si>
    <t>Only run after void test on test data. Verify list/detail behavior matches API contract.</t>
  </si>
  <si>
    <t>VOID test receipt; write permission</t>
  </si>
  <si>
    <t>PR-015</t>
  </si>
  <si>
    <t>{
  "paymentDate": "2099-01-01",
  "amount": 1000,
  "paymentModeId": {{paymentModeId}},
  "customerName": "Future Date Test",
  "referenceNumber": "TEST-FUTURE-DATE",
  "status": "DRAFT",
  "allocations": []
}</t>
  </si>
  <si>
    <t>Expected 422 FUTURE_PAYMENT_DATE or equivalent; no receipt created.</t>
  </si>
  <si>
    <t>Separate negative test. Adapt customer fields to current DTO, send, then check list to ensure no record was created.</t>
  </si>
  <si>
    <t>paymentModeId; write permission</t>
  </si>
  <si>
    <t>PR-016</t>
  </si>
  <si>
    <t>{
  "paymentDate": "2026-10-23",
  "amount": 1000,
  "paymentModeId": {{paymentModeId}},
  "customerName": "Over Allocation Test",
  "referenceNumber": "TEST-OVERALLOC-001",
  "status": "DRAFT",
  "allocations": [
    {"invoiceReference": "TEST-INV-OVER", "allocatedAmount": 1200, "notes": "Intentional invalid over-allocation"}
  ]
}</t>
  </si>
  <si>
    <t>Expected 422 EXCEEDS_PAYMENT_AMOUNT or equivalent; no receipt created.</t>
  </si>
  <si>
    <t>Separate negative test. Verify API rejects allocations totalling more than payment amount.</t>
  </si>
  <si>
    <t>PR-017</t>
  </si>
  <si>
    <t>{
  "invoiceReference": "TEST-INV-TOO-LARGE",
  "allocatedAmount": 999999,
  "notes": "Intentional invalid allocation"
}</t>
  </si>
  <si>
    <t>Expected 422 EXCEEDS_UNALLOCATED_BALANCE or equivalent; totals remain unchanged.</t>
  </si>
  <si>
    <t>Use a DRAFT test receipt with less than 999999 unallocated. Send, then GET and compare totals.</t>
  </si>
  <si>
    <t>PR-018</t>
  </si>
  <si>
    <t>(No Authorization header)</t>
  </si>
  <si>
    <t>Expected 401 Unauthorized.</t>
  </si>
  <si>
    <t>Override Authorization to No Auth for this one request, send, then restore inherited auth.</t>
  </si>
  <si>
    <t>No token for this test</t>
  </si>
  <si>
    <t>PR-019</t>
  </si>
  <si>
    <t>{
  "referenceNumber": "SHOULD-NOT-UPDATE",
  "notes": "Attempt to edit void receipt"
}</t>
  </si>
  <si>
    <t>Expected documented rejection (audit suggests 422) for immutable VOID receipt.</t>
  </si>
  <si>
    <t>Run only with a VOID test receipt. Send and verify record remains unchanged.</t>
  </si>
  <si>
    <t xml:space="preserve">  TexaWave ERP - Expenses API Tracker (Lifecycle: DRAFT → SUBMIT → APPROVE → PAY → CANCEL)</t>
  </si>
  <si>
    <t>EXP-001</t>
  </si>
  <si>
    <t>{{baseUrl}}/finance/expenses</t>
  </si>
  <si>
    <t>{
  "expenseTypeId": {{expenseTypeId}},
  "expenseDate": "2026-10-23",
  "amount": 3000.00,
  "taxAmount": 540.00,
  "paymentModeId": {{paymentModeId}},
  "vendorName": "Apex Office Hub",
  "referenceNumber": "TEST-EXP-001",
  "notes": "Postman test - workstation equipment",
  "status": "DRAFT"
}</t>
  </si>
  <si>
    <t>Expected 201; status=DRAFT; netAmount may equal 3540 if net is amount plus tax. Save data.id as expenseId.</t>
  </si>
  <si>
    <t>Discover expenseTypeId and paymentModeId first. Send as raw JSON; check current DTO for required fields.</t>
  </si>
  <si>
    <t>expenseTypeId, paymentModeId; write permission</t>
  </si>
  <si>
    <t>EXP-002</t>
  </si>
  <si>
    <t>{{baseUrl}}/finance/expenses/{{expenseId}}</t>
  </si>
  <si>
    <t>200 OK; expense detail returned with status DRAFT.</t>
  </si>
  <si>
    <t>Run after create; verify id, amount, status and fields.</t>
  </si>
  <si>
    <t>expenseId; read permission</t>
  </si>
  <si>
    <t>EXP-003</t>
  </si>
  <si>
    <t>{{baseUrl}}/finance/expenses?status=DRAFT&amp;page=1&amp;limit=10</t>
  </si>
  <si>
    <t>200 OK; list includes the draft and pagination metadata.</t>
  </si>
  <si>
    <t>Find expense by ID in result.</t>
  </si>
  <si>
    <t>EXP-004</t>
  </si>
  <si>
    <t>{
  "amount": 3200.00,
  "taxAmount": 576.00,
  "notes": "Updated test amount"
}</t>
  </si>
  <si>
    <t>Expected 200; netAmount may equal 3776 if the current rule is amount + tax.</t>
  </si>
  <si>
    <t>Update only a DRAFT test expense. GET it again to verify.</t>
  </si>
  <si>
    <t>expenseId; write permission</t>
  </si>
  <si>
    <t>EXP-005</t>
  </si>
  <si>
    <t>{{baseUrl}}/finance/expenses/{{expenseId}}/submit</t>
  </si>
  <si>
    <t>Expected 201 per guide; status=PENDING_APPROVAL.</t>
  </si>
  <si>
    <t>Run after draft is created; verify response/GET.</t>
  </si>
  <si>
    <t>EXP-006</t>
  </si>
  <si>
    <t>{{baseUrl}}/finance/expenses/{{expenseId}}/approve</t>
  </si>
  <si>
    <t>Expected 201 per guide; status=APPROVED.</t>
  </si>
  <si>
    <t>Run only after submission; use an authorized test role.</t>
  </si>
  <si>
    <t>expenseId; approval permission</t>
  </si>
  <si>
    <t>EXP-007</t>
  </si>
  <si>
    <t>{{baseUrl}}/finance/expenses/{{expenseId}}/pay</t>
  </si>
  <si>
    <t>{
  "paymentDate": "2026-10-23",
  "referenceNumber": "TEST-NEFT-EXP-001"
}</t>
  </si>
  <si>
    <t>Expected 201 per guide; status=PAID, journalEntryId exists and journal is balanced.</t>
  </si>
  <si>
    <t>Only on an APPROVED test expense in safe dev DB. Inspect journal details.</t>
  </si>
  <si>
    <t>expenseId; APPROVED test expense</t>
  </si>
  <si>
    <t>EXP-008</t>
  </si>
  <si>
    <t>{{baseUrl}}/finance/expenses/{{expenseId}}/cancel</t>
  </si>
  <si>
    <t>Expected 201 per guide; status=CANCELLED and reversal journal exists.</t>
  </si>
  <si>
    <t>Only after successful test payment. Verify reversal journal balances.</t>
  </si>
  <si>
    <t>PAID test expense</t>
  </si>
  <si>
    <t>EXP-009</t>
  </si>
  <si>
    <t>Expected 204; soft-delete permitted after cancellation.</t>
  </si>
  <si>
    <t>Only on cancelled test expense. Verify list/detail behavior.</t>
  </si>
  <si>
    <t>CANCELLED test expense</t>
  </si>
  <si>
    <t>EXP-010</t>
  </si>
  <si>
    <t>{
  "expenseTypeId": {{expenseTypeId}},
  "expenseDate": "2099-01-01",
  "amount": 1000,
  "taxAmount": 0,
  "paymentModeId": {{paymentModeId}},
  "vendorName": "Future Date Negative Test",
  "referenceNumber": "TEST-EXP-FUTURE",
  "notes": "Intentional invalid future date",
  "status": "DRAFT"
}</t>
  </si>
  <si>
    <t>Expected 422 FUTURE_EXPENSE_DATE or equivalent; no record created.</t>
  </si>
  <si>
    <t>Separate negative test; verify no record was created. Adapt body to current DTO.</t>
  </si>
  <si>
    <t xml:space="preserve">  TexaWave ERP - Pending API &amp; Security Verification Tracker (Audit &amp; Risk Backlog)</t>
  </si>
  <si>
    <t xml:space="preserve">  Do not edit the navy columns (Verification spec). Update Status ('Completed' button), % Done, Evidence / Notes, and Last Updated. Dashboard updates automatically.</t>
  </si>
  <si>
    <t>Check ID</t>
  </si>
  <si>
    <t>Area</t>
  </si>
  <si>
    <t>API / Check</t>
  </si>
  <si>
    <t>Why Pending / Risk</t>
  </si>
  <si>
    <t>How to Verify</t>
  </si>
  <si>
    <t>Expected Result / Acceptance Criteria</t>
  </si>
  <si>
    <t>Priority</t>
  </si>
  <si>
    <t>Evidence / Notes</t>
  </si>
  <si>
    <t>CHK-001</t>
  </si>
  <si>
    <t>Payments Received</t>
  </si>
  <si>
    <t>Create → GET → list</t>
  </si>
  <si>
    <t>Prepared guide does not prove live requests were executed.</t>
  </si>
  <si>
    <t>Run create, detail and list rows; save sanitized responses.</t>
  </si>
  <si>
    <t>Created receipt persists and appears in detail/list.</t>
  </si>
  <si>
    <t>P1</t>
  </si>
  <si>
    <t>CHK-002</t>
  </si>
  <si>
    <t>Confirm + GL posting</t>
  </si>
  <si>
    <t>Live database posting not proven by unit tests alone.</t>
  </si>
  <si>
    <t>Confirm a test receipt and inspect journal detail.</t>
  </si>
  <si>
    <t>CONFIRMED; one journal only; total debits = total credits.</t>
  </si>
  <si>
    <t>CHK-003</t>
  </si>
  <si>
    <t>Void + reversal</t>
  </si>
  <si>
    <t>Live reversal still needs manual verification.</t>
  </si>
  <si>
    <t>Void a confirmed test receipt and inspect original/reversal journals.</t>
  </si>
  <si>
    <t>VOID; original journal reversed; reversal balances.</t>
  </si>
  <si>
    <t>CHK-004</t>
  </si>
  <si>
    <t>Allocation arithmetic</t>
  </si>
  <si>
    <t>Need to verify persisted totals after add/remove.</t>
  </si>
  <si>
    <t>GET receipt after every allocation change.</t>
  </si>
  <si>
    <t>allocatedAmount equals allocation sum; unallocatedAmount equals amount minus allocated.</t>
  </si>
  <si>
    <t>CHK-005</t>
  </si>
  <si>
    <t>Overdue/due-month filters</t>
  </si>
  <si>
    <t>Audit found client-side filtering of only current page and no authoritative SalesInvoice model.</t>
  </si>
  <si>
    <t>Inspect DTO/repository; test with more than 15 records if possible.</t>
  </si>
  <si>
    <t>No advance credit labelled overdue; accurate server-side counts or unsupported filter disabled.</t>
  </si>
  <si>
    <t>P0</t>
  </si>
  <si>
    <t>CHK-006</t>
  </si>
  <si>
    <t>Invoice source and status synchronization</t>
  </si>
  <si>
    <t>Invoice reference is free text; project guide says no dedicated SalesInvoice model.</t>
  </si>
  <si>
    <t>Inspect schema and Sales integration; document dependency.</t>
  </si>
  <si>
    <t>Do not claim live invoice balance, due date or payment-status sync without authoritative source.</t>
  </si>
  <si>
    <t>CHK-007</t>
  </si>
  <si>
    <t>Payments Received UI</t>
  </si>
  <si>
    <t>Edit draft action</t>
  </si>
  <si>
    <t>Audit reports PATCH exists but UI edit action is missing.</t>
  </si>
  <si>
    <t>After implementation, edit DRAFT in UI then GET via API.</t>
  </si>
  <si>
    <t>Draft can be edited; confirmed/reconciled/void remain restricted.</t>
  </si>
  <si>
    <t>P2</t>
  </si>
  <si>
    <t>CHK-008</t>
  </si>
  <si>
    <t>Allocation response typing</t>
  </si>
  <si>
    <t>Audit reports frontend type differs from backend response.</t>
  </si>
  <si>
    <t>Compare controller/service response with api.ts and run allocation request.</t>
  </si>
  <si>
    <t>Frontend type matches actual backend payload.</t>
  </si>
  <si>
    <t>CHK-009</t>
  </si>
  <si>
    <t>Security</t>
  </si>
  <si>
    <t>Unauthenticated request</t>
  </si>
  <si>
    <t>Needs live security check.</t>
  </si>
  <si>
    <t>Send protected GET without Authorization.</t>
  </si>
  <si>
    <t>401; no protected data returned.</t>
  </si>
  <si>
    <t>CHK-010</t>
  </si>
  <si>
    <t>Write permission denial</t>
  </si>
  <si>
    <t>Requires a read-only test account.</t>
  </si>
  <si>
    <t>POST using token without write permission.</t>
  </si>
  <si>
    <t>403; no record created.</t>
  </si>
  <si>
    <t>CHK-011</t>
  </si>
  <si>
    <t>Tenant isolation</t>
  </si>
  <si>
    <t>Requires two test organizations.</t>
  </si>
  <si>
    <t>Try Org A's record ID using Org B token.</t>
  </si>
  <si>
    <t>No cross-tenant data leakage; project contract expects 404.</t>
  </si>
  <si>
    <t>CHK-012</t>
  </si>
  <si>
    <t>Expenses</t>
  </si>
  <si>
    <t>Draft → submit → approve → pay → cancel</t>
  </si>
  <si>
    <t>Prepared manual tests need live execution.</t>
  </si>
  <si>
    <t>Run lifecycle on a test-only expense.</t>
  </si>
  <si>
    <t>Correct states and balanced posting/reversal entries.</t>
  </si>
  <si>
    <t>CHK-013</t>
  </si>
  <si>
    <t>UI/API E2E</t>
  </si>
  <si>
    <t>Browser to API workflow</t>
  </si>
  <si>
    <t>Audit says no Playwright UI E2E spec exists for this feature.</t>
  </si>
  <si>
    <t>Manually create, allocate, filter, print and inspect persistence; automate when test infra exists.</t>
  </si>
  <si>
    <t>UI payloads match API; visible state matches persisted state.</t>
  </si>
  <si>
    <t>CHK-014</t>
  </si>
  <si>
    <t>Test infrastructure</t>
  </si>
  <si>
    <t>Disposable E2E DB and Redis</t>
  </si>
  <si>
    <t>Project notes say harness safely aborted because test DB/Redis unavailable.</t>
  </si>
  <si>
    <t>Follow repository e2e-guard instructions to configure isolated services.</t>
  </si>
  <si>
    <t>E2E runs only against disposable test DB and dedicated Redis, never texawave_erp.</t>
  </si>
  <si>
    <t>CHK-015</t>
  </si>
  <si>
    <t>Request contract</t>
  </si>
  <si>
    <t>Customer and bank prerequisites</t>
  </si>
  <si>
    <t>Docs vary between customerName/customerId and optional/required bankAccountId.</t>
  </si>
  <si>
    <t>Compare current DTO and controller; run discovery requests.</t>
  </si>
  <si>
    <t>Requests use actual required fields and real IDs.</t>
  </si>
  <si>
    <t xml:space="preserve">  How to Update the Finance API Test Tracker</t>
  </si>
  <si>
    <t>1. Open 'Payments Received API', 'Expenses API', or 'Pending API Checks' and pick the test case row you are executing.</t>
  </si>
  <si>
    <t>2. Click the Status pill button in Column H and select 'Completed' once the Postman request passes all Expected Result checks.</t>
  </si>
  <si>
    <t>3. Use 'Blocked' or 'Need to Discuss' (or 'FAIL') immediately if a route, DTO contract, or database prerequisite fails — do not wait.</t>
  </si>
  <si>
    <t>4. Always record sanitized response evidence or error details in Column J ('Actual Result / Notes') and put today's date in Column K ('Last Updated' — Ctrl + ;).</t>
  </si>
  <si>
    <t>5. Do not edit the navy columns (Columns A–G test specification data). The Dashboard and % Done counters update automatically.</t>
  </si>
  <si>
    <t>Example: Status = Completed  |  % Done = 100%  |  Actual Result = '201 Created; paymentReceivedId saved; journalEntryId balanced'</t>
  </si>
  <si>
    <t>Status Button</t>
  </si>
  <si>
    <t>When to use it</t>
  </si>
  <si>
    <t>Request executed in Postman and actual HTTP status, payload, and DB persistence match Expected Result.</t>
  </si>
  <si>
    <t>Currently configuring prerequisites, tokens, or actively testing the endpoint.</t>
  </si>
  <si>
    <t>Endpoint tested; response or DTO mismatch raised for PR/backend review.</t>
  </si>
  <si>
    <t>Default initial state — manual verification has not been executed yet.</t>
  </si>
  <si>
    <t>Cannot execute due to missing seed data, unavailable test DB/Redis, or missing route/permission.</t>
  </si>
  <si>
    <t>Contract caveat or unexpected 422/500 behavior that requires team discussion.</t>
  </si>
  <si>
    <t>Test suite scheduled for a later sprint phase.</t>
  </si>
  <si>
    <t>Postman Runbook Topic</t>
  </si>
  <si>
    <t>Operational Instructions (from Original Workbook)</t>
  </si>
  <si>
    <t>Purpose</t>
  </si>
  <si>
    <t>Manual API test cases for Finance Operations while UI implementation continues. All test statuses start as PENDING; mark PASS only after executing the request.</t>
  </si>
  <si>
    <t>Safety</t>
  </si>
  <si>
    <t>Use only local development/test data. Never run confirm, void, cancel, or delete requests against production or real financial records.</t>
  </si>
  <si>
    <t>Setup</t>
  </si>
  <si>
    <t>Start the API using the repository's normal command. Use the actual API port from the terminal; do not assume the example port is correct.</t>
  </si>
  <si>
    <t>Postman import</t>
  </si>
  <si>
    <t>Import postman/finance-api.postman_collection.json and postman/finance-local.postman_environment.json from the repository if present.</t>
  </si>
  <si>
    <t>Environment</t>
  </si>
  <si>
    <t>Set baseUrl, organizationSlug, email, password using real development values. Never share passwords or access tokens.</t>
  </si>
  <si>
    <t>Login</t>
  </si>
  <si>
    <t>POST {{baseUrl}}/auth/login. Project guide expects data.accessToken. Save it as accessToken and use Authorization: Bearer {{accessToken}} for protected routes.</t>
  </si>
  <si>
    <t>Discover IDs</t>
  </si>
  <si>
    <t>Run payment-mode, bank-account, and customer discovery requests first. Use IDs from real API responses; never guess IDs.</t>
  </si>
  <si>
    <t>Run a request</t>
  </si>
  <si>
    <t>Choose method and URL, use Body → raw → JSON for JSON bodies, click Send, then compare status and response with Expected Result.</t>
  </si>
  <si>
    <t>Record outcome</t>
  </si>
  <si>
    <t>Update Status to PASS, FAIL, BLOCKED, or PENDING and add sanitized evidence in Actual Result / Notes.</t>
  </si>
  <si>
    <t>Contract caveat</t>
  </si>
  <si>
    <t>Project docs contain examples using customerName and others using customerId. Verify the current DTO/controller before sending create requests; adapt the body to the actual contract.</t>
  </si>
  <si>
    <t>Invoice caveat</t>
  </si>
  <si>
    <t>The available project notes say there is no dedicated SalesInvoice Prisma model. Invoice references here are test strings and do not prove invoice balance/status synchronization.</t>
  </si>
  <si>
    <t>E2E caveat</t>
  </si>
  <si>
    <t>Project notes say the E2E harness was blocked because a disposable test database and dedicated Redis were unavailable. These manual checks remain pending until executed safely.</t>
  </si>
  <si>
    <t xml:space="preserve">  Project Info — TexaWave ERP Finance API Verification</t>
  </si>
  <si>
    <t>Metric</t>
  </si>
  <si>
    <t>Value</t>
  </si>
  <si>
    <t>Notes</t>
  </si>
  <si>
    <t>Workbook Name</t>
  </si>
  <si>
    <t>TexaWave ERP — Finance Postman API Test Tracker</t>
  </si>
  <si>
    <t>Redesigned to match TexaWave_ERP_Sprint_Plan_Revised architecture</t>
  </si>
  <si>
    <t>Target Environment</t>
  </si>
  <si>
    <t>Local Development API + Disposable Test DB</t>
  </si>
  <si>
    <t>Never run confirm, void, cancel, or delete against production records</t>
  </si>
  <si>
    <t>Payments Received Tests</t>
  </si>
  <si>
    <t>19 Manual API Test Cases (PR-001 to PR-019)</t>
  </si>
  <si>
    <t>Covers Auth, Discovery, Create, Allocate, Confirm, Void, Delete &amp; Negative 422s</t>
  </si>
  <si>
    <t>Expenses API Tests</t>
  </si>
  <si>
    <t>10 Manual API Test Cases (EXP-001 to EXP-010)</t>
  </si>
  <si>
    <t>Covers Draft, GET, PATCH, Submit, Approve, Pay, Cancel, Delete &amp; Future Date 422</t>
  </si>
  <si>
    <t>Pending API &amp; Security Checks</t>
  </si>
  <si>
    <t>15 Audit &amp; Risk Checks (CHK-001 to CHK-015)</t>
  </si>
  <si>
    <t>Covers GL posting, reversal, RBAC 401/403, tenant isolation 404, and E2E guard</t>
  </si>
  <si>
    <t>Total Verification Items</t>
  </si>
  <si>
    <t>Automatically summed across all 3 tracker sheets</t>
  </si>
  <si>
    <t>Contract Caveat</t>
  </si>
  <si>
    <t>customerName vs customerId &amp; bankAccountId</t>
  </si>
  <si>
    <t>Verify current DTO/controller before sending create requests</t>
  </si>
  <si>
    <t>Invoice Caveat</t>
  </si>
  <si>
    <t>No dedicated SalesInvoice Prisma model</t>
  </si>
  <si>
    <t>Invoice references are free-text strings; do not claim live invoice sync</t>
  </si>
  <si>
    <t>201 OK (121 MS)</t>
  </si>
  <si>
    <t>200 OK (46MS)</t>
  </si>
  <si>
    <t>200 OK (26 MS)</t>
  </si>
  <si>
    <t>200 OK (23 MS)</t>
  </si>
  <si>
    <t>422 EXPECTED BUT IT SAYS ,Unprocessable Entity (WebDAV) (RFC 4918)</t>
  </si>
  <si>
    <t>200 OK (26 MS), paymentmodeid 7, payment recive id : (7) 14</t>
  </si>
  <si>
    <t>200 OK (129 MS)</t>
  </si>
  <si>
    <t>200 OK (61 MS)</t>
  </si>
  <si>
    <t>200 OK (11 MS)</t>
  </si>
  <si>
    <t>201 OK (41 MS)</t>
  </si>
  <si>
    <t>204 NO CONTENT (18 MS)</t>
  </si>
  <si>
    <t>EXPECTED 422 ALREDY CREATED (11 MS)</t>
  </si>
  <si>
    <t>201 created</t>
  </si>
  <si>
    <t>201 Created (15 MS)</t>
  </si>
  <si>
    <t>201 created (49 MS)</t>
  </si>
  <si>
    <t>404 no content</t>
  </si>
  <si>
    <t>401 unauthorized</t>
  </si>
  <si>
    <t>{
  "invoiceReference": "TEST-INV-TOO+D21</t>
  </si>
  <si>
    <t>EXPECTED 422 (47 MS)</t>
  </si>
  <si>
    <t>EXPECTED</t>
  </si>
  <si>
    <t>200 OK</t>
  </si>
  <si>
    <t>expected 201</t>
  </si>
  <si>
    <t xml:space="preserve">200 OK </t>
  </si>
  <si>
    <t>204 No Content</t>
  </si>
  <si>
    <t>Exxpected 201</t>
  </si>
  <si>
    <t xml:space="preserve">422 Expected 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</si>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</sst>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24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sz val="9.5"/>
      <color rgb="FFCBD5E1"/>
      <name val="Segoe UI"/>
    </font>
    <font>
      <b/>
      <sz val="10"/>
      <color rgb="FFFFFFFF"/>
      <name val="Segoe UI"/>
    </font>
    <font>
      <b/>
      <sz val="9.5"/>
      <color rgb="FF0F172A"/>
      <name val="Segoe UI"/>
    </font>
    <font>
      <b/>
      <sz val="9.5"/>
      <color rgb="FF1E293B"/>
      <name val="Consolas"/>
    </font>
    <font>
      <b/>
      <sz val="9"/>
      <color rgb="FF1D4ED8"/>
      <name val="Consolas"/>
    </font>
    <font>
      <sz val="9"/>
      <color rgb="FF0F172A"/>
      <name val="Consolas"/>
    </font>
    <font>
      <sz val="9.5"/>
      <color rgb="FF1E293B"/>
      <name val="Segoe UI"/>
    </font>
    <font>
      <b/>
      <sz val="9.5"/>
      <color rgb="FFB45309"/>
      <name val="Segoe UI"/>
    </font>
    <font>
      <b/>
      <sz val="9.5"/>
      <color rgb="FF1E293B"/>
      <name val="Segoe UI"/>
    </font>
    <font>
      <b/>
      <sz val="9.5"/>
      <color rgb="FF1E3A8A"/>
      <name val="Segoe UI"/>
    </font>
    <font>
      <b/>
      <sz val="18"/>
      <color rgb="FF1E3A8A"/>
      <name val="Segoe UI"/>
    </font>
    <font>
      <b/>
      <sz val="9.5"/>
      <color rgb="FF15803D"/>
      <name val="Segoe UI"/>
    </font>
    <font>
      <b/>
      <sz val="18"/>
      <color rgb="FF15803D"/>
      <name val="Segoe UI"/>
    </font>
    <font>
      <b/>
      <sz val="9.5"/>
      <color rgb="FF0369A1"/>
      <name val="Segoe UI"/>
    </font>
    <font>
      <b/>
      <sz val="18"/>
      <color rgb="FF0369A1"/>
      <name val="Segoe UI"/>
    </font>
    <font>
      <b/>
      <sz val="9.5"/>
      <color rgb="FFB91C1C"/>
      <name val="Segoe UI"/>
    </font>
    <font>
      <b/>
      <sz val="18"/>
      <color rgb="FFB91C1C"/>
      <name val="Segoe UI"/>
    </font>
    <font>
      <b/>
      <sz val="9.5"/>
      <color rgb="FFC2410C"/>
      <name val="Segoe UI"/>
    </font>
    <font>
      <b/>
      <sz val="18"/>
      <color rgb="FFC2410C"/>
      <name val="Segoe UI"/>
    </font>
    <font>
      <b/>
      <sz val="18"/>
      <color rgb="FFB45309"/>
      <name val="Segoe UI"/>
    </font>
    <font>
      <b/>
      <sz val="11"/>
      <color rgb="FF1B365D"/>
      <name val="Segoe UI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1B365D"/>
        <bgColor rgb="FF1B365D"/>
      </patternFill>
    </fill>
    <fill>
      <patternFill patternType="solid">
        <fgColor rgb="FF0F766E"/>
        <bgColor rgb="FF0F766E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  <fill>
      <patternFill patternType="solid">
        <fgColor rgb="FFFEFCE8"/>
        <bgColor rgb="FFFEFCE8"/>
      </patternFill>
    </fill>
    <fill>
      <patternFill patternType="solid">
        <fgColor rgb="FFF8FAFC"/>
        <bgColor rgb="FFF8FAFC"/>
      </patternFill>
    </fill>
    <fill>
      <patternFill patternType="solid">
        <fgColor rgb="FFEFF6FF"/>
        <bgColor rgb="FFEFF6FF"/>
      </patternFill>
    </fill>
    <fill>
      <patternFill patternType="solid">
        <fgColor rgb="FFDCFCE7"/>
        <bgColor rgb="FFDCFCE7"/>
      </patternFill>
    </fill>
    <fill>
      <patternFill patternType="solid">
        <fgColor rgb="FFE0F2FE"/>
        <bgColor rgb="FFE0F2FE"/>
      </patternFill>
    </fill>
    <fill>
      <patternFill patternType="solid">
        <fgColor rgb="FFFEE2E2"/>
        <bgColor rgb="FFFEE2E2"/>
      </patternFill>
    </fill>
    <fill>
      <patternFill patternType="solid">
        <fgColor rgb="FFFFEDD5"/>
        <bgColor rgb="FFFFEDD5"/>
      </patternFill>
    </fill>
    <fill>
      <patternFill patternType="solid">
        <fgColor rgb="FFE2E8F0"/>
        <bgColor rgb="FFE2E8F0"/>
      </patternFill>
    </fill>
  </fills>
  <borders count="1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1B365D"/>
      </top>
      <bottom style="medium">
        <color rgb="FF1B365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1E3A8A"/>
      </top>
      <bottom/>
      <diagonal/>
    </border>
    <border>
      <left style="thin">
        <color rgb="FFCBD5E1"/>
      </left>
      <right style="thin">
        <color rgb="FFCBD5E1"/>
      </right>
      <top/>
      <bottom style="medium">
        <color rgb="FF1E3A8A"/>
      </bottom>
      <diagonal/>
    </border>
    <border>
      <left style="thin">
        <color rgb="FFCBD5E1"/>
      </left>
      <right style="thin">
        <color rgb="FFCBD5E1"/>
      </right>
      <top style="medium">
        <color rgb="FF15803D"/>
      </top>
      <bottom/>
      <diagonal/>
    </border>
    <border>
      <left style="thin">
        <color rgb="FFCBD5E1"/>
      </left>
      <right style="thin">
        <color rgb="FFCBD5E1"/>
      </right>
      <top/>
      <bottom style="medium">
        <color rgb="FF15803D"/>
      </bottom>
      <diagonal/>
    </border>
    <border>
      <left style="thin">
        <color rgb="FFCBD5E1"/>
      </left>
      <right style="thin">
        <color rgb="FFCBD5E1"/>
      </right>
      <top style="medium">
        <color rgb="FF0369A1"/>
      </top>
      <bottom/>
      <diagonal/>
    </border>
    <border>
      <left style="thin">
        <color rgb="FFCBD5E1"/>
      </left>
      <right style="thin">
        <color rgb="FFCBD5E1"/>
      </right>
      <top/>
      <bottom style="medium">
        <color rgb="FF0369A1"/>
      </bottom>
      <diagonal/>
    </border>
    <border>
      <left style="thin">
        <color rgb="FFCBD5E1"/>
      </left>
      <right style="thin">
        <color rgb="FFCBD5E1"/>
      </right>
      <top style="medium">
        <color rgb="FFB91C1C"/>
      </top>
      <bottom/>
      <diagonal/>
    </border>
    <border>
      <left style="thin">
        <color rgb="FFCBD5E1"/>
      </left>
      <right style="thin">
        <color rgb="FFCBD5E1"/>
      </right>
      <top/>
      <bottom style="medium">
        <color rgb="FFB91C1C"/>
      </bottom>
      <diagonal/>
    </border>
    <border>
      <left style="thin">
        <color rgb="FFCBD5E1"/>
      </left>
      <right style="thin">
        <color rgb="FFCBD5E1"/>
      </right>
      <top style="medium">
        <color rgb="FFC2410C"/>
      </top>
      <bottom/>
      <diagonal/>
    </border>
    <border>
      <left style="thin">
        <color rgb="FFCBD5E1"/>
      </left>
      <right style="thin">
        <color rgb="FFCBD5E1"/>
      </right>
      <top/>
      <bottom style="medium">
        <color rgb="FFC2410C"/>
      </bottom>
      <diagonal/>
    </border>
    <border>
      <left style="thin">
        <color rgb="FFCBD5E1"/>
      </left>
      <right style="thin">
        <color rgb="FFCBD5E1"/>
      </right>
      <top style="medium">
        <color rgb="FFB45309"/>
      </top>
      <bottom/>
      <diagonal/>
    </border>
    <border>
      <left style="thin">
        <color rgb="FFCBD5E1"/>
      </left>
      <right style="thin">
        <color rgb="FFCBD5E1"/>
      </right>
      <top/>
      <bottom style="medium">
        <color rgb="FFB45309"/>
      </bottom>
      <diagonal/>
    </border>
    <border>
      <left style="thin">
        <color rgb="FFCBD5E1"/>
      </left>
      <right style="thin">
        <color rgb="FFCBD5E1"/>
      </right>
      <top style="medium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1" fontId="4" fillId="6" borderId="2" xfId="0" applyNumberFormat="1" applyFont="1" applyFill="1" applyBorder="1" applyAlignment="1">
      <alignment horizontal="center" vertical="center" wrapText="1"/>
    </xf>
    <xf numFmtId="9" fontId="8" fillId="6" borderId="2" xfId="0" applyNumberFormat="1" applyFont="1" applyFill="1" applyBorder="1" applyAlignment="1">
      <alignment horizontal="center" vertical="center" wrapText="1"/>
    </xf>
    <xf numFmtId="1" fontId="8" fillId="6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 indent="1"/>
    </xf>
    <xf numFmtId="9" fontId="4" fillId="6" borderId="2" xfId="0" applyNumberFormat="1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 wrapText="1"/>
    </xf>
    <xf numFmtId="9" fontId="8" fillId="10" borderId="2" xfId="0" applyNumberFormat="1" applyFont="1" applyFill="1" applyBorder="1" applyAlignment="1">
      <alignment horizontal="center" vertical="center" wrapText="1"/>
    </xf>
    <xf numFmtId="1" fontId="8" fillId="10" borderId="2" xfId="0" applyNumberFormat="1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 wrapText="1" indent="1"/>
    </xf>
    <xf numFmtId="9" fontId="4" fillId="10" borderId="2" xfId="0" applyNumberFormat="1" applyFont="1" applyFill="1" applyBorder="1" applyAlignment="1">
      <alignment horizontal="center" vertical="center" wrapText="1"/>
    </xf>
    <xf numFmtId="0" fontId="4" fillId="16" borderId="15" xfId="0" applyFont="1" applyFill="1" applyBorder="1" applyAlignment="1">
      <alignment horizontal="left" vertical="center" wrapText="1" indent="1"/>
    </xf>
    <xf numFmtId="1" fontId="4" fillId="16" borderId="15" xfId="0" applyNumberFormat="1" applyFont="1" applyFill="1" applyBorder="1" applyAlignment="1">
      <alignment horizontal="center" vertical="center" wrapText="1"/>
    </xf>
    <xf numFmtId="9" fontId="4" fillId="16" borderId="15" xfId="0" applyNumberFormat="1" applyFont="1" applyFill="1" applyBorder="1" applyAlignment="1">
      <alignment horizontal="center" vertical="center" wrapText="1"/>
    </xf>
    <xf numFmtId="0" fontId="4" fillId="16" borderId="1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 indent="1"/>
    </xf>
    <xf numFmtId="0" fontId="7" fillId="7" borderId="2" xfId="0" applyFont="1" applyFill="1" applyBorder="1" applyAlignment="1">
      <alignment horizontal="left" vertical="center" wrapText="1" indent="1"/>
    </xf>
    <xf numFmtId="0" fontId="8" fillId="6" borderId="2" xfId="0" applyFont="1" applyFill="1" applyBorder="1" applyAlignment="1">
      <alignment horizontal="left" vertical="center" wrapText="1" indent="1"/>
    </xf>
    <xf numFmtId="0" fontId="9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wrapText="1" indent="1"/>
    </xf>
    <xf numFmtId="164" fontId="8" fillId="9" borderId="2" xfId="0" applyNumberFormat="1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left" vertical="center" wrapText="1" indent="1"/>
    </xf>
    <xf numFmtId="0" fontId="10" fillId="6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5" fillId="13" borderId="7" xfId="0" applyFont="1" applyFill="1" applyBorder="1" applyAlignment="1">
      <alignment horizontal="center" vertical="center" wrapText="1"/>
    </xf>
    <xf numFmtId="0" fontId="0" fillId="13" borderId="7" xfId="0" applyFill="1" applyBorder="1"/>
    <xf numFmtId="0" fontId="2" fillId="3" borderId="0" xfId="0" applyFont="1" applyFill="1" applyAlignment="1">
      <alignment horizontal="left" vertical="center" wrapText="1" indent="1"/>
    </xf>
    <xf numFmtId="0" fontId="0" fillId="3" borderId="0" xfId="0" applyFill="1"/>
    <xf numFmtId="0" fontId="19" fillId="15" borderId="11" xfId="0" applyFont="1" applyFill="1" applyBorder="1" applyAlignment="1">
      <alignment horizontal="center" vertical="center" wrapText="1"/>
    </xf>
    <xf numFmtId="0" fontId="0" fillId="15" borderId="11" xfId="0" applyFill="1" applyBorder="1"/>
    <xf numFmtId="0" fontId="9" fillId="8" borderId="13" xfId="0" applyFont="1" applyFill="1" applyBorder="1" applyAlignment="1">
      <alignment horizontal="center" vertical="center" wrapText="1"/>
    </xf>
    <xf numFmtId="0" fontId="0" fillId="8" borderId="13" xfId="0" applyFill="1" applyBorder="1"/>
    <xf numFmtId="1" fontId="20" fillId="15" borderId="12" xfId="0" applyNumberFormat="1" applyFont="1" applyFill="1" applyBorder="1" applyAlignment="1">
      <alignment horizontal="center" vertical="center" wrapText="1"/>
    </xf>
    <xf numFmtId="0" fontId="0" fillId="15" borderId="12" xfId="0" applyFill="1" applyBorder="1"/>
    <xf numFmtId="1" fontId="12" fillId="11" borderId="4" xfId="0" applyNumberFormat="1" applyFont="1" applyFill="1" applyBorder="1" applyAlignment="1">
      <alignment horizontal="center" vertical="center" wrapText="1"/>
    </xf>
    <xf numFmtId="0" fontId="0" fillId="11" borderId="4" xfId="0" applyFill="1" applyBorder="1"/>
    <xf numFmtId="9" fontId="16" fillId="13" borderId="8" xfId="0" applyNumberFormat="1" applyFont="1" applyFill="1" applyBorder="1" applyAlignment="1">
      <alignment horizontal="center" vertical="center" wrapText="1"/>
    </xf>
    <xf numFmtId="0" fontId="0" fillId="13" borderId="8" xfId="0" applyFill="1" applyBorder="1"/>
    <xf numFmtId="1" fontId="14" fillId="12" borderId="6" xfId="0" applyNumberFormat="1" applyFont="1" applyFill="1" applyBorder="1" applyAlignment="1">
      <alignment horizontal="center" vertical="center" wrapText="1"/>
    </xf>
    <xf numFmtId="0" fontId="0" fillId="12" borderId="6" xfId="0" applyFill="1" applyBorder="1"/>
    <xf numFmtId="1" fontId="18" fillId="14" borderId="10" xfId="0" applyNumberFormat="1" applyFont="1" applyFill="1" applyBorder="1" applyAlignment="1">
      <alignment horizontal="center" vertical="center" wrapText="1"/>
    </xf>
    <xf numFmtId="0" fontId="0" fillId="14" borderId="10" xfId="0" applyFill="1" applyBorder="1"/>
    <xf numFmtId="0" fontId="13" fillId="12" borderId="5" xfId="0" applyFont="1" applyFill="1" applyBorder="1" applyAlignment="1">
      <alignment horizontal="center" vertical="center" wrapText="1"/>
    </xf>
    <xf numFmtId="0" fontId="0" fillId="12" borderId="5" xfId="0" applyFill="1" applyBorder="1"/>
    <xf numFmtId="1" fontId="21" fillId="8" borderId="14" xfId="0" applyNumberFormat="1" applyFont="1" applyFill="1" applyBorder="1" applyAlignment="1">
      <alignment horizontal="center" vertical="center" wrapText="1"/>
    </xf>
    <xf numFmtId="0" fontId="0" fillId="8" borderId="14" xfId="0" applyFill="1" applyBorder="1"/>
    <xf numFmtId="0" fontId="17" fillId="14" borderId="9" xfId="0" applyFont="1" applyFill="1" applyBorder="1" applyAlignment="1">
      <alignment horizontal="center" vertical="center" wrapText="1"/>
    </xf>
    <xf numFmtId="0" fontId="0" fillId="14" borderId="9" xfId="0" applyFill="1" applyBorder="1"/>
    <xf numFmtId="0" fontId="1" fillId="2" borderId="0" xfId="0" applyFont="1" applyFill="1" applyAlignment="1">
      <alignment horizontal="left" vertical="center" wrapText="1" indent="1"/>
    </xf>
    <xf numFmtId="0" fontId="0" fillId="2" borderId="0" xfId="0" applyFill="1"/>
    <xf numFmtId="0" fontId="11" fillId="11" borderId="3" xfId="0" applyFont="1" applyFill="1" applyBorder="1" applyAlignment="1">
      <alignment horizontal="center" vertical="center" wrapText="1"/>
    </xf>
    <xf numFmtId="0" fontId="0" fillId="11" borderId="3" xfId="0" applyFill="1" applyBorder="1"/>
    <xf numFmtId="0" fontId="8" fillId="10" borderId="2" xfId="0" applyFont="1" applyFill="1" applyBorder="1" applyAlignment="1">
      <alignment horizontal="left" vertical="center" wrapText="1" indent="1"/>
    </xf>
    <xf numFmtId="0" fontId="0" fillId="10" borderId="2" xfId="0" applyFill="1" applyBorder="1"/>
    <xf numFmtId="0" fontId="8" fillId="6" borderId="2" xfId="0" applyFont="1" applyFill="1" applyBorder="1" applyAlignment="1">
      <alignment horizontal="left" vertical="center" wrapText="1" indent="1"/>
    </xf>
    <xf numFmtId="0" fontId="0" fillId="6" borderId="2" xfId="0" applyFill="1" applyBorder="1"/>
    <xf numFmtId="0" fontId="4" fillId="9" borderId="2" xfId="0" applyFont="1" applyFill="1" applyBorder="1" applyAlignment="1">
      <alignment horizontal="left" vertical="center" wrapText="1" indent="1"/>
    </xf>
    <xf numFmtId="0" fontId="0" fillId="9" borderId="2" xfId="0" applyFill="1" applyBorder="1"/>
  </cellXfs>
  <cellStyles count="1">
    <cellStyle name="Normal" xfId="0" builtinId="0"/>
  </cellStyles>
  <dxfs count="77">
    <dxf>
      <font>
        <b/>
        <sz val="9.5"/>
        <color rgb="FF475569"/>
        <name val="Segoe UI"/>
      </font>
      <fill>
        <patternFill patternType="solid">
          <fgColor rgb="FFE2E8F0"/>
          <bgColor rgb="FFE2E8F0"/>
        </patternFill>
      </fill>
    </dxf>
    <dxf>
      <font>
        <b/>
        <sz val="9.5"/>
        <color rgb="FFC2410C"/>
        <name val="Segoe UI"/>
      </font>
      <fill>
        <patternFill patternType="solid">
          <fgColor rgb="FFFFEDD5"/>
          <bgColor rgb="FFFFEDD5"/>
        </patternFill>
      </fill>
    </dxf>
    <dxf>
      <font>
        <b/>
        <sz val="9.5"/>
        <color rgb="FFB91C1C"/>
        <name val="Segoe UI"/>
      </font>
      <fill>
        <patternFill patternType="solid">
          <fgColor rgb="FFFEE2E2"/>
          <bgColor rgb="FFFEE2E2"/>
        </patternFill>
      </fill>
    </dxf>
    <dxf>
      <font>
        <b/>
        <sz val="9.5"/>
        <color rgb="FFB91C1C"/>
        <name val="Segoe UI"/>
      </font>
      <fill>
        <patternFill patternType="solid">
          <fgColor rgb="FFFEE2E2"/>
          <bgColor rgb="FFFEE2E2"/>
        </patternFill>
      </fill>
    </dxf>
    <dxf>
      <font>
        <b/>
        <sz val="9.5"/>
        <color rgb="FFB91C1C"/>
        <name val="Segoe UI"/>
      </font>
      <fill>
        <patternFill patternType="solid">
          <fgColor rgb="FFFEE2E2"/>
          <bgColor rgb="FFFEE2E2"/>
        </patternFill>
      </fill>
    </dxf>
    <dxf>
      <font>
        <b/>
        <sz val="9.5"/>
        <color rgb="FFB45309"/>
        <name val="Segoe UI"/>
      </font>
      <fill>
        <patternFill patternType="solid">
          <fgColor rgb="FFFEF3C7"/>
          <bgColor rgb="FFFEF3C7"/>
        </patternFill>
      </fill>
    </dxf>
    <dxf>
      <font>
        <b/>
        <sz val="9.5"/>
        <color rgb="FFB45309"/>
        <name val="Segoe UI"/>
      </font>
      <fill>
        <patternFill patternType="solid">
          <fgColor rgb="FFFEF3C7"/>
          <bgColor rgb="FFFEF3C7"/>
        </patternFill>
      </fill>
    </dxf>
    <dxf>
      <font>
        <b/>
        <sz val="9.5"/>
        <color rgb="FF6D28D9"/>
        <name val="Segoe UI"/>
      </font>
      <fill>
        <patternFill patternType="solid">
          <fgColor rgb="FFEDE9FE"/>
          <bgColor rgb="FFEDE9FE"/>
        </patternFill>
      </fill>
    </dxf>
    <dxf>
      <font>
        <b/>
        <sz val="9.5"/>
        <color rgb="FF1D4ED8"/>
        <name val="Segoe UI"/>
      </font>
      <fill>
        <patternFill patternType="solid">
          <fgColor rgb="FFDBEAFE"/>
          <bgColor rgb="FFDBEAFE"/>
        </patternFill>
      </fill>
    </dxf>
    <dxf>
      <font>
        <b/>
        <sz val="9.5"/>
        <color rgb="FF15803D"/>
        <name val="Segoe UI"/>
      </font>
      <fill>
        <patternFill patternType="solid">
          <fgColor rgb="FFDCFCE7"/>
          <bgColor rgb="FFDCFCE7"/>
        </patternFill>
      </fill>
    </dxf>
    <dxf>
      <font>
        <b/>
        <sz val="9.5"/>
        <color rgb="FF15803D"/>
        <name val="Segoe UI"/>
      </font>
      <fill>
        <patternFill patternType="solid">
          <fgColor rgb="FFDCFCE7"/>
          <bgColor rgb="FFDCFCE7"/>
        </patternFill>
      </fill>
    </dxf>
    <dxf>
      <font>
        <b/>
        <sz val="9.5"/>
        <color rgb="FF475569"/>
        <name val="Segoe UI"/>
      </font>
      <fill>
        <patternFill patternType="solid">
          <fgColor rgb="FFE2E8F0"/>
          <bgColor rgb="FFE2E8F0"/>
        </patternFill>
      </fill>
    </dxf>
    <dxf>
      <font>
        <b/>
        <sz val="9.5"/>
        <color rgb="FFC2410C"/>
        <name val="Segoe UI"/>
      </font>
      <fill>
        <patternFill patternType="solid">
          <fgColor rgb="FFFFEDD5"/>
          <bgColor rgb="FFFFEDD5"/>
        </patternFill>
      </fill>
    </dxf>
    <dxf>
      <font>
        <b/>
        <sz val="9.5"/>
        <color rgb="FFB91C1C"/>
        <name val="Segoe UI"/>
      </font>
      <fill>
        <patternFill patternType="solid">
          <fgColor rgb="FFFEE2E2"/>
          <bgColor rgb="FFFEE2E2"/>
        </patternFill>
      </fill>
    </dxf>
    <dxf>
      <font>
        <b/>
        <sz val="9.5"/>
        <color rgb="FFB91C1C"/>
        <name val="Segoe UI"/>
      </font>
      <fill>
        <patternFill patternType="solid">
          <fgColor rgb="FFFEE2E2"/>
          <bgColor rgb="FFFEE2E2"/>
        </patternFill>
      </fill>
    </dxf>
    <dxf>
      <font>
        <b/>
        <sz val="9.5"/>
        <color rgb="FFB91C1C"/>
        <name val="Segoe UI"/>
      </font>
      <fill>
        <patternFill patternType="solid">
          <fgColor rgb="FFFEE2E2"/>
          <bgColor rgb="FFFEE2E2"/>
        </patternFill>
      </fill>
    </dxf>
    <dxf>
      <font>
        <b/>
        <sz val="9.5"/>
        <color rgb="FFB45309"/>
        <name val="Segoe UI"/>
      </font>
      <fill>
        <patternFill patternType="solid">
          <fgColor rgb="FFFEF3C7"/>
          <bgColor rgb="FFFEF3C7"/>
        </patternFill>
      </fill>
    </dxf>
    <dxf>
      <font>
        <b/>
        <sz val="9.5"/>
        <color rgb="FFB45309"/>
        <name val="Segoe UI"/>
      </font>
      <fill>
        <patternFill patternType="solid">
          <fgColor rgb="FFFEF3C7"/>
          <bgColor rgb="FFFEF3C7"/>
        </patternFill>
      </fill>
    </dxf>
    <dxf>
      <font>
        <b/>
        <sz val="9.5"/>
        <color rgb="FF6D28D9"/>
        <name val="Segoe UI"/>
      </font>
      <fill>
        <patternFill patternType="solid">
          <fgColor rgb="FFEDE9FE"/>
          <bgColor rgb="FFEDE9FE"/>
        </patternFill>
      </fill>
    </dxf>
    <dxf>
      <font>
        <b/>
        <sz val="9.5"/>
        <color rgb="FF1D4ED8"/>
        <name val="Segoe UI"/>
      </font>
      <fill>
        <patternFill patternType="solid">
          <fgColor rgb="FFDBEAFE"/>
          <bgColor rgb="FFDBEAFE"/>
        </patternFill>
      </fill>
    </dxf>
    <dxf>
      <font>
        <b/>
        <sz val="9.5"/>
        <color rgb="FF15803D"/>
        <name val="Segoe UI"/>
      </font>
      <fill>
        <patternFill patternType="solid">
          <fgColor rgb="FFDCFCE7"/>
          <bgColor rgb="FFDCFCE7"/>
        </patternFill>
      </fill>
    </dxf>
    <dxf>
      <font>
        <b/>
        <sz val="9.5"/>
        <color rgb="FF15803D"/>
        <name val="Segoe UI"/>
      </font>
      <fill>
        <patternFill patternType="solid">
          <fgColor rgb="FFDCFCE7"/>
          <bgColor rgb="FFDCFCE7"/>
        </patternFill>
      </fill>
    </dxf>
    <dxf>
      <font>
        <b/>
        <sz val="9.5"/>
        <color rgb="FF1D4ED8"/>
        <name val="Segoe UI"/>
      </font>
      <fill>
        <patternFill patternType="solid">
          <fgColor rgb="FFDBEAFE"/>
          <bgColor rgb="FFDBEAFE"/>
        </patternFill>
      </fill>
    </dxf>
    <dxf>
      <font>
        <b/>
        <sz val="9.5"/>
        <color rgb="FFB45309"/>
        <name val="Segoe UI"/>
      </font>
      <fill>
        <patternFill patternType="solid">
          <fgColor rgb="FFFEF3C7"/>
          <bgColor rgb="FFFEF3C7"/>
        </patternFill>
      </fill>
    </dxf>
    <dxf>
      <font>
        <b/>
        <sz val="9.5"/>
        <color rgb="FFB91C1C"/>
        <name val="Segoe UI"/>
      </font>
      <fill>
        <patternFill patternType="solid">
          <fgColor rgb="FFFEE2E2"/>
          <bgColor rgb="FFFEE2E2"/>
        </patternFill>
      </fill>
    </dxf>
    <dxf>
      <font>
        <b/>
        <sz val="9.5"/>
        <color rgb="FF475569"/>
        <name val="Segoe UI"/>
      </font>
      <fill>
        <patternFill patternType="solid">
          <fgColor rgb="FFE2E8F0"/>
          <bgColor rgb="FFE2E8F0"/>
        </patternFill>
      </fill>
    </dxf>
    <dxf>
      <font>
        <b/>
        <sz val="9.5"/>
        <color rgb="FFC2410C"/>
        <name val="Segoe UI"/>
      </font>
      <fill>
        <patternFill patternType="solid">
          <fgColor rgb="FFFFEDD5"/>
          <bgColor rgb="FFFFEDD5"/>
        </patternFill>
      </fill>
    </dxf>
    <dxf>
      <font>
        <b/>
        <sz val="9.5"/>
        <color rgb="FFB91C1C"/>
        <name val="Segoe UI"/>
      </font>
      <fill>
        <patternFill patternType="solid">
          <fgColor rgb="FFFEE2E2"/>
          <bgColor rgb="FFFEE2E2"/>
        </patternFill>
      </fill>
    </dxf>
    <dxf>
      <font>
        <b/>
        <sz val="9.5"/>
        <color rgb="FFB91C1C"/>
        <name val="Segoe UI"/>
      </font>
      <fill>
        <patternFill patternType="solid">
          <fgColor rgb="FFFEE2E2"/>
          <bgColor rgb="FFFEE2E2"/>
        </patternFill>
      </fill>
    </dxf>
    <dxf>
      <font>
        <b/>
        <sz val="9.5"/>
        <color rgb="FFB91C1C"/>
        <name val="Segoe UI"/>
      </font>
      <fill>
        <patternFill patternType="solid">
          <fgColor rgb="FFFEE2E2"/>
          <bgColor rgb="FFFEE2E2"/>
        </patternFill>
      </fill>
    </dxf>
    <dxf>
      <font>
        <b/>
        <sz val="9.5"/>
        <color rgb="FFB45309"/>
        <name val="Segoe UI"/>
      </font>
      <fill>
        <patternFill patternType="solid">
          <fgColor rgb="FFFEF3C7"/>
          <bgColor rgb="FFFEF3C7"/>
        </patternFill>
      </fill>
    </dxf>
    <dxf>
      <font>
        <b/>
        <sz val="9.5"/>
        <color rgb="FFB45309"/>
        <name val="Segoe UI"/>
      </font>
      <fill>
        <patternFill patternType="solid">
          <fgColor rgb="FFFEF3C7"/>
          <bgColor rgb="FFFEF3C7"/>
        </patternFill>
      </fill>
    </dxf>
    <dxf>
      <font>
        <b/>
        <sz val="9.5"/>
        <color rgb="FF6D28D9"/>
        <name val="Segoe UI"/>
      </font>
      <fill>
        <patternFill patternType="solid">
          <fgColor rgb="FFEDE9FE"/>
          <bgColor rgb="FFEDE9FE"/>
        </patternFill>
      </fill>
    </dxf>
    <dxf>
      <font>
        <b/>
        <sz val="9.5"/>
        <color rgb="FF1D4ED8"/>
        <name val="Segoe UI"/>
      </font>
      <fill>
        <patternFill patternType="solid">
          <fgColor rgb="FFDBEAFE"/>
          <bgColor rgb="FFDBEAFE"/>
        </patternFill>
      </fill>
    </dxf>
    <dxf>
      <font>
        <b/>
        <sz val="9.5"/>
        <color rgb="FF15803D"/>
        <name val="Segoe UI"/>
      </font>
      <fill>
        <patternFill patternType="solid">
          <fgColor rgb="FFDCFCE7"/>
          <bgColor rgb="FFDCFCE7"/>
        </patternFill>
      </fill>
    </dxf>
    <dxf>
      <font>
        <b/>
        <sz val="9.5"/>
        <color rgb="FF15803D"/>
        <name val="Segoe UI"/>
      </font>
      <fill>
        <patternFill patternType="solid">
          <fgColor rgb="FFDCFCE7"/>
          <bgColor rgb="FFDCFCE7"/>
        </patternFill>
      </fill>
    </dxf>
    <dxf>
      <font>
        <b/>
        <sz val="9.5"/>
        <color rgb="FFBE123C"/>
        <name val="Consolas"/>
      </font>
      <fill>
        <patternFill patternType="solid">
          <fgColor rgb="FFFFE4E6"/>
          <bgColor rgb="FFFFE4E6"/>
        </patternFill>
      </fill>
    </dxf>
    <dxf>
      <font>
        <b/>
        <sz val="9.5"/>
        <color rgb="FFB45309"/>
        <name val="Consolas"/>
      </font>
      <fill>
        <patternFill patternType="solid">
          <fgColor rgb="FFFEF3C7"/>
          <bgColor rgb="FFFEF3C7"/>
        </patternFill>
      </fill>
    </dxf>
    <dxf>
      <font>
        <b/>
        <sz val="9.5"/>
        <color rgb="FF15803D"/>
        <name val="Consolas"/>
      </font>
      <fill>
        <patternFill patternType="solid">
          <fgColor rgb="FFDCFCE7"/>
          <bgColor rgb="FFDCFCE7"/>
        </patternFill>
      </fill>
    </dxf>
    <dxf>
      <font>
        <b/>
        <sz val="9.5"/>
        <color rgb="FF1D4ED8"/>
        <name val="Consolas"/>
      </font>
      <fill>
        <patternFill patternType="solid">
          <fgColor rgb="FFDBEAFE"/>
          <bgColor rgb="FFDBEAFE"/>
        </patternFill>
      </fill>
    </dxf>
    <dxf>
      <font>
        <b/>
        <sz val="9.5"/>
        <color rgb="FF475569"/>
        <name val="Segoe UI"/>
      </font>
      <fill>
        <patternFill patternType="solid">
          <fgColor rgb="FFE2E8F0"/>
          <bgColor rgb="FFE2E8F0"/>
        </patternFill>
      </fill>
    </dxf>
    <dxf>
      <font>
        <b/>
        <sz val="9.5"/>
        <color rgb="FFC2410C"/>
        <name val="Segoe UI"/>
      </font>
      <fill>
        <patternFill patternType="solid">
          <fgColor rgb="FFFFEDD5"/>
          <bgColor rgb="FFFFEDD5"/>
        </patternFill>
      </fill>
    </dxf>
    <dxf>
      <font>
        <b/>
        <sz val="9.5"/>
        <color rgb="FFB91C1C"/>
        <name val="Segoe UI"/>
      </font>
      <fill>
        <patternFill patternType="solid">
          <fgColor rgb="FFFEE2E2"/>
          <bgColor rgb="FFFEE2E2"/>
        </patternFill>
      </fill>
    </dxf>
    <dxf>
      <font>
        <b/>
        <sz val="9.5"/>
        <color rgb="FFB91C1C"/>
        <name val="Segoe UI"/>
      </font>
      <fill>
        <patternFill patternType="solid">
          <fgColor rgb="FFFEE2E2"/>
          <bgColor rgb="FFFEE2E2"/>
        </patternFill>
      </fill>
    </dxf>
    <dxf>
      <font>
        <b/>
        <sz val="9.5"/>
        <color rgb="FFB91C1C"/>
        <name val="Segoe UI"/>
      </font>
      <fill>
        <patternFill patternType="solid">
          <fgColor rgb="FFFEE2E2"/>
          <bgColor rgb="FFFEE2E2"/>
        </patternFill>
      </fill>
    </dxf>
    <dxf>
      <font>
        <b/>
        <sz val="9.5"/>
        <color rgb="FFB45309"/>
        <name val="Segoe UI"/>
      </font>
      <fill>
        <patternFill patternType="solid">
          <fgColor rgb="FFFEF3C7"/>
          <bgColor rgb="FFFEF3C7"/>
        </patternFill>
      </fill>
    </dxf>
    <dxf>
      <font>
        <b/>
        <sz val="9.5"/>
        <color rgb="FFB45309"/>
        <name val="Segoe UI"/>
      </font>
      <fill>
        <patternFill patternType="solid">
          <fgColor rgb="FFFEF3C7"/>
          <bgColor rgb="FFFEF3C7"/>
        </patternFill>
      </fill>
    </dxf>
    <dxf>
      <font>
        <b/>
        <sz val="9.5"/>
        <color rgb="FF6D28D9"/>
        <name val="Segoe UI"/>
      </font>
      <fill>
        <patternFill patternType="solid">
          <fgColor rgb="FFEDE9FE"/>
          <bgColor rgb="FFEDE9FE"/>
        </patternFill>
      </fill>
    </dxf>
    <dxf>
      <font>
        <b/>
        <sz val="9.5"/>
        <color rgb="FF1D4ED8"/>
        <name val="Segoe UI"/>
      </font>
      <fill>
        <patternFill patternType="solid">
          <fgColor rgb="FFDBEAFE"/>
          <bgColor rgb="FFDBEAFE"/>
        </patternFill>
      </fill>
    </dxf>
    <dxf>
      <font>
        <b/>
        <sz val="9.5"/>
        <color rgb="FF15803D"/>
        <name val="Segoe UI"/>
      </font>
      <fill>
        <patternFill patternType="solid">
          <fgColor rgb="FFDCFCE7"/>
          <bgColor rgb="FFDCFCE7"/>
        </patternFill>
      </fill>
    </dxf>
    <dxf>
      <font>
        <b/>
        <sz val="9.5"/>
        <color rgb="FF15803D"/>
        <name val="Segoe UI"/>
      </font>
      <fill>
        <patternFill patternType="solid">
          <fgColor rgb="FFDCFCE7"/>
          <bgColor rgb="FFDCFCE7"/>
        </patternFill>
      </fill>
    </dxf>
    <dxf>
      <font>
        <b/>
        <sz val="9.5"/>
        <color rgb="FFBE123C"/>
        <name val="Consolas"/>
      </font>
      <fill>
        <patternFill patternType="solid">
          <fgColor rgb="FFFFE4E6"/>
          <bgColor rgb="FFFFE4E6"/>
        </patternFill>
      </fill>
    </dxf>
    <dxf>
      <font>
        <b/>
        <sz val="9.5"/>
        <color rgb="FFB45309"/>
        <name val="Consolas"/>
      </font>
      <fill>
        <patternFill patternType="solid">
          <fgColor rgb="FFFEF3C7"/>
          <bgColor rgb="FFFEF3C7"/>
        </patternFill>
      </fill>
    </dxf>
    <dxf>
      <font>
        <b/>
        <sz val="9.5"/>
        <color rgb="FF15803D"/>
        <name val="Consolas"/>
      </font>
      <fill>
        <patternFill patternType="solid">
          <fgColor rgb="FFDCFCE7"/>
          <bgColor rgb="FFDCFCE7"/>
        </patternFill>
      </fill>
    </dxf>
    <dxf>
      <font>
        <b/>
        <sz val="9.5"/>
        <color rgb="FF1D4ED8"/>
        <name val="Consolas"/>
      </font>
      <fill>
        <patternFill patternType="solid">
          <fgColor rgb="FFDBEAFE"/>
          <bgColor rgb="FFDBEAFE"/>
        </patternFill>
      </fill>
    </dxf>
    <dxf>
      <font>
        <b/>
        <sz val="9.5"/>
        <color rgb="FF475569"/>
        <name val="Segoe UI"/>
      </font>
      <fill>
        <patternFill patternType="solid">
          <fgColor rgb="FFE2E8F0"/>
          <bgColor rgb="FFE2E8F0"/>
        </patternFill>
      </fill>
    </dxf>
    <dxf>
      <font>
        <b/>
        <sz val="9.5"/>
        <color rgb="FFC2410C"/>
        <name val="Segoe UI"/>
      </font>
      <fill>
        <patternFill patternType="solid">
          <fgColor rgb="FFFFEDD5"/>
          <bgColor rgb="FFFFEDD5"/>
        </patternFill>
      </fill>
    </dxf>
    <dxf>
      <font>
        <b/>
        <sz val="9.5"/>
        <color rgb="FFB91C1C"/>
        <name val="Segoe UI"/>
      </font>
      <fill>
        <patternFill patternType="solid">
          <fgColor rgb="FFFEE2E2"/>
          <bgColor rgb="FFFEE2E2"/>
        </patternFill>
      </fill>
    </dxf>
    <dxf>
      <font>
        <b/>
        <sz val="9.5"/>
        <color rgb="FFB91C1C"/>
        <name val="Segoe UI"/>
      </font>
      <fill>
        <patternFill patternType="solid">
          <fgColor rgb="FFFEE2E2"/>
          <bgColor rgb="FFFEE2E2"/>
        </patternFill>
      </fill>
    </dxf>
    <dxf>
      <font>
        <b/>
        <sz val="9.5"/>
        <color rgb="FFB91C1C"/>
        <name val="Segoe UI"/>
      </font>
      <fill>
        <patternFill patternType="solid">
          <fgColor rgb="FFFEE2E2"/>
          <bgColor rgb="FFFEE2E2"/>
        </patternFill>
      </fill>
    </dxf>
    <dxf>
      <font>
        <b/>
        <sz val="9.5"/>
        <color rgb="FFB45309"/>
        <name val="Segoe UI"/>
      </font>
      <fill>
        <patternFill patternType="solid">
          <fgColor rgb="FFFEF3C7"/>
          <bgColor rgb="FFFEF3C7"/>
        </patternFill>
      </fill>
    </dxf>
    <dxf>
      <font>
        <b/>
        <sz val="9.5"/>
        <color rgb="FFB45309"/>
        <name val="Segoe UI"/>
      </font>
      <fill>
        <patternFill patternType="solid">
          <fgColor rgb="FFFEF3C7"/>
          <bgColor rgb="FFFEF3C7"/>
        </patternFill>
      </fill>
    </dxf>
    <dxf>
      <font>
        <b/>
        <sz val="9.5"/>
        <color rgb="FF6D28D9"/>
        <name val="Segoe UI"/>
      </font>
      <fill>
        <patternFill patternType="solid">
          <fgColor rgb="FFEDE9FE"/>
          <bgColor rgb="FFEDE9FE"/>
        </patternFill>
      </fill>
    </dxf>
    <dxf>
      <font>
        <b/>
        <sz val="9.5"/>
        <color rgb="FF1D4ED8"/>
        <name val="Segoe UI"/>
      </font>
      <fill>
        <patternFill patternType="solid">
          <fgColor rgb="FFDBEAFE"/>
          <bgColor rgb="FFDBEAFE"/>
        </patternFill>
      </fill>
    </dxf>
    <dxf>
      <font>
        <b/>
        <sz val="9.5"/>
        <color rgb="FF15803D"/>
        <name val="Segoe UI"/>
      </font>
      <fill>
        <patternFill patternType="solid">
          <fgColor rgb="FFDCFCE7"/>
          <bgColor rgb="FFDCFCE7"/>
        </patternFill>
      </fill>
    </dxf>
    <dxf>
      <font>
        <b/>
        <sz val="9.5"/>
        <color rgb="FF15803D"/>
        <name val="Segoe UI"/>
      </font>
      <fill>
        <patternFill patternType="solid">
          <fgColor rgb="FFDCFCE7"/>
          <bgColor rgb="FFDCFCE7"/>
        </patternFill>
      </fill>
    </dxf>
    <dxf>
      <font>
        <b/>
        <sz val="9.5"/>
        <color rgb="FF475569"/>
        <name val="Segoe UI"/>
      </font>
      <fill>
        <patternFill patternType="solid">
          <fgColor rgb="FFE2E8F0"/>
          <bgColor rgb="FFE2E8F0"/>
        </patternFill>
      </fill>
    </dxf>
    <dxf>
      <font>
        <b/>
        <sz val="9.5"/>
        <color rgb="FFC2410C"/>
        <name val="Segoe UI"/>
      </font>
      <fill>
        <patternFill patternType="solid">
          <fgColor rgb="FFFFEDD5"/>
          <bgColor rgb="FFFFEDD5"/>
        </patternFill>
      </fill>
    </dxf>
    <dxf>
      <font>
        <b/>
        <sz val="9.5"/>
        <color rgb="FFB91C1C"/>
        <name val="Segoe UI"/>
      </font>
      <fill>
        <patternFill patternType="solid">
          <fgColor rgb="FFFEE2E2"/>
          <bgColor rgb="FFFEE2E2"/>
        </patternFill>
      </fill>
    </dxf>
    <dxf>
      <font>
        <b/>
        <sz val="9.5"/>
        <color rgb="FFB91C1C"/>
        <name val="Segoe UI"/>
      </font>
      <fill>
        <patternFill patternType="solid">
          <fgColor rgb="FFFEE2E2"/>
          <bgColor rgb="FFFEE2E2"/>
        </patternFill>
      </fill>
    </dxf>
    <dxf>
      <font>
        <b/>
        <sz val="9.5"/>
        <color rgb="FFB91C1C"/>
        <name val="Segoe UI"/>
      </font>
      <fill>
        <patternFill patternType="solid">
          <fgColor rgb="FFFEE2E2"/>
          <bgColor rgb="FFFEE2E2"/>
        </patternFill>
      </fill>
    </dxf>
    <dxf>
      <font>
        <b/>
        <sz val="9.5"/>
        <color rgb="FFB45309"/>
        <name val="Segoe UI"/>
      </font>
      <fill>
        <patternFill patternType="solid">
          <fgColor rgb="FFFEF3C7"/>
          <bgColor rgb="FFFEF3C7"/>
        </patternFill>
      </fill>
    </dxf>
    <dxf>
      <font>
        <b/>
        <sz val="9.5"/>
        <color rgb="FFB45309"/>
        <name val="Segoe UI"/>
      </font>
      <fill>
        <patternFill patternType="solid">
          <fgColor rgb="FFFEF3C7"/>
          <bgColor rgb="FFFEF3C7"/>
        </patternFill>
      </fill>
    </dxf>
    <dxf>
      <font>
        <b/>
        <sz val="9.5"/>
        <color rgb="FF6D28D9"/>
        <name val="Segoe UI"/>
      </font>
      <fill>
        <patternFill patternType="solid">
          <fgColor rgb="FFEDE9FE"/>
          <bgColor rgb="FFEDE9FE"/>
        </patternFill>
      </fill>
    </dxf>
    <dxf>
      <font>
        <b/>
        <sz val="9.5"/>
        <color rgb="FF1D4ED8"/>
        <name val="Segoe UI"/>
      </font>
      <fill>
        <patternFill patternType="solid">
          <fgColor rgb="FFDBEAFE"/>
          <bgColor rgb="FFDBEAFE"/>
        </patternFill>
      </fill>
    </dxf>
    <dxf>
      <font>
        <b/>
        <sz val="9.5"/>
        <color rgb="FF15803D"/>
        <name val="Segoe UI"/>
      </font>
      <fill>
        <patternFill patternType="solid">
          <fgColor rgb="FFDCFCE7"/>
          <bgColor rgb="FFDCFCE7"/>
        </patternFill>
      </fill>
    </dxf>
    <dxf>
      <font>
        <b/>
        <sz val="9.5"/>
        <color rgb="FF15803D"/>
        <name val="Segoe UI"/>
      </font>
      <fill>
        <patternFill patternType="solid">
          <fgColor rgb="FFDCFCE7"/>
          <b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Finance API Test Execution Progress by Suite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Dashboard!$I$8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22C55E"/>
            </a:solidFill>
            <a:ln>
              <a:prstDash val="solid"/>
            </a:ln>
          </c:spPr>
          <c:invertIfNegative val="0"/>
          <c:cat>
            <c:strRef>
              <c:f>Dashboard!$G$9:$G$11</c:f>
              <c:strCache>
                <c:ptCount val="3"/>
                <c:pt idx="0">
                  <c:v>Payments Received API</c:v>
                </c:pt>
                <c:pt idx="1">
                  <c:v>Expenses API</c:v>
                </c:pt>
                <c:pt idx="2">
                  <c:v>Pending API Checks</c:v>
                </c:pt>
              </c:strCache>
            </c:strRef>
          </c:cat>
          <c:val>
            <c:numRef>
              <c:f>Dashboard!$I$9:$I$11</c:f>
              <c:numCache>
                <c:formatCode>0</c:formatCode>
                <c:ptCount val="3"/>
                <c:pt idx="0">
                  <c:v>19</c:v>
                </c:pt>
                <c:pt idx="1">
                  <c:v>10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3-4A78-97C5-2FA3DB508825}"/>
            </c:ext>
          </c:extLst>
        </c:ser>
        <c:ser>
          <c:idx val="1"/>
          <c:order val="1"/>
          <c:tx>
            <c:strRef>
              <c:f>Dashboard!$J$8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rgbClr val="F59E0B"/>
            </a:solidFill>
            <a:ln>
              <a:prstDash val="solid"/>
            </a:ln>
          </c:spPr>
          <c:invertIfNegative val="0"/>
          <c:cat>
            <c:strRef>
              <c:f>Dashboard!$G$9:$G$11</c:f>
              <c:strCache>
                <c:ptCount val="3"/>
                <c:pt idx="0">
                  <c:v>Payments Received API</c:v>
                </c:pt>
                <c:pt idx="1">
                  <c:v>Expenses API</c:v>
                </c:pt>
                <c:pt idx="2">
                  <c:v>Pending API Checks</c:v>
                </c:pt>
              </c:strCache>
            </c:strRef>
          </c:cat>
          <c:val>
            <c:numRef>
              <c:f>Dashboard!$J$9:$J$11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83-4A78-97C5-2FA3DB508825}"/>
            </c:ext>
          </c:extLst>
        </c:ser>
        <c:ser>
          <c:idx val="2"/>
          <c:order val="2"/>
          <c:tx>
            <c:strRef>
              <c:f>Dashboard!$K$8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rgbClr val="EF4444"/>
            </a:solidFill>
            <a:ln>
              <a:prstDash val="solid"/>
            </a:ln>
          </c:spPr>
          <c:invertIfNegative val="0"/>
          <c:cat>
            <c:strRef>
              <c:f>Dashboard!$G$9:$G$11</c:f>
              <c:strCache>
                <c:ptCount val="3"/>
                <c:pt idx="0">
                  <c:v>Payments Received API</c:v>
                </c:pt>
                <c:pt idx="1">
                  <c:v>Expenses API</c:v>
                </c:pt>
                <c:pt idx="2">
                  <c:v>Pending API Checks</c:v>
                </c:pt>
              </c:strCache>
            </c:strRef>
          </c:cat>
          <c:val>
            <c:numRef>
              <c:f>Dashboard!$K$9:$K$11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83-4A78-97C5-2FA3DB508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API Suite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Checks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14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aymentsTracker" displayName="TblPaymentsTracker" ref="A4:K23">
  <autoFilter ref="A4:K23" xr:uid="{00000000-0009-0000-0100-000001000000}"/>
  <tableColumns count="11">
    <tableColumn id="1" xr3:uid="{00000000-0010-0000-0000-000001000000}" name="Test ID"/>
    <tableColumn id="2" xr3:uid="{00000000-0010-0000-0000-000002000000}" name="Test Method"/>
    <tableColumn id="3" xr3:uid="{00000000-0010-0000-0000-000003000000}" name="URL"/>
    <tableColumn id="4" xr3:uid="{00000000-0010-0000-0000-000004000000}" name="JSON Code for Test"/>
    <tableColumn id="5" xr3:uid="{00000000-0010-0000-0000-000005000000}" name="Expected Result"/>
    <tableColumn id="6" xr3:uid="{00000000-0010-0000-0000-000006000000}" name="Explanation / Steps to Do"/>
    <tableColumn id="7" xr3:uid="{00000000-0010-0000-0000-000007000000}" name="Prerequisites / Variables"/>
    <tableColumn id="8" xr3:uid="{00000000-0010-0000-0000-000008000000}" name="Status"/>
    <tableColumn id="9" xr3:uid="{00000000-0010-0000-0000-000009000000}" name="% Done"/>
    <tableColumn id="10" xr3:uid="{00000000-0010-0000-0000-00000A000000}" name="Actual Result / Notes"/>
    <tableColumn id="11" xr3:uid="{00000000-0010-0000-0000-00000B000000}" name="Last Updat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ExpensesTracker" displayName="TblExpensesTracker" ref="A4:K14">
  <autoFilter ref="A4:K14" xr:uid="{00000000-0009-0000-0100-000002000000}"/>
  <tableColumns count="11">
    <tableColumn id="1" xr3:uid="{00000000-0010-0000-0100-000001000000}" name="Test ID"/>
    <tableColumn id="2" xr3:uid="{00000000-0010-0000-0100-000002000000}" name="Test Method"/>
    <tableColumn id="3" xr3:uid="{00000000-0010-0000-0100-000003000000}" name="URL"/>
    <tableColumn id="4" xr3:uid="{00000000-0010-0000-0100-000004000000}" name="JSON Code for Test"/>
    <tableColumn id="5" xr3:uid="{00000000-0010-0000-0100-000005000000}" name="Expected Result"/>
    <tableColumn id="6" xr3:uid="{00000000-0010-0000-0100-000006000000}" name="Explanation / Steps to Do"/>
    <tableColumn id="7" xr3:uid="{00000000-0010-0000-0100-000007000000}" name="Prerequisites / Variables"/>
    <tableColumn id="8" xr3:uid="{00000000-0010-0000-0100-000008000000}" name="Status"/>
    <tableColumn id="9" xr3:uid="{00000000-0010-0000-0100-000009000000}" name="% Done"/>
    <tableColumn id="10" xr3:uid="{00000000-0010-0000-0100-00000A000000}" name="Actual Result / Notes"/>
    <tableColumn id="11" xr3:uid="{00000000-0010-0000-0100-00000B000000}" name="Last Upda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endingTracker" displayName="TblPendingTracker" ref="A4:K19">
  <autoFilter ref="A4:K19" xr:uid="{00000000-0009-0000-0100-000003000000}"/>
  <tableColumns count="11">
    <tableColumn id="1" xr3:uid="{00000000-0010-0000-0200-000001000000}" name="Check ID"/>
    <tableColumn id="2" xr3:uid="{00000000-0010-0000-0200-000002000000}" name="Area"/>
    <tableColumn id="3" xr3:uid="{00000000-0010-0000-0200-000003000000}" name="API / Check"/>
    <tableColumn id="4" xr3:uid="{00000000-0010-0000-0200-000004000000}" name="Why Pending / Risk"/>
    <tableColumn id="5" xr3:uid="{00000000-0010-0000-0200-000005000000}" name="How to Verify"/>
    <tableColumn id="6" xr3:uid="{00000000-0010-0000-0200-000006000000}" name="Expected Result / Acceptance Criteria"/>
    <tableColumn id="7" xr3:uid="{00000000-0010-0000-0200-000007000000}" name="Priority"/>
    <tableColumn id="8" xr3:uid="{00000000-0010-0000-0200-000008000000}" name="Status"/>
    <tableColumn id="9" xr3:uid="{00000000-0010-0000-0200-000009000000}" name="% Done"/>
    <tableColumn id="10" xr3:uid="{00000000-0010-0000-0200-00000A000000}" name="Evidence / Notes"/>
    <tableColumn id="11" xr3:uid="{00000000-0010-0000-0200-00000B000000}" name="Last Upd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8A"/>
  </sheetPr>
  <dimension ref="B1:M16"/>
  <sheetViews>
    <sheetView showGridLines="0" zoomScale="86" workbookViewId="0">
      <selection activeCell="C9" sqref="C9"/>
    </sheetView>
  </sheetViews>
  <sheetFormatPr defaultRowHeight="15" x14ac:dyDescent="0.25"/>
  <cols>
    <col min="1" max="1" width="4" customWidth="1"/>
    <col min="2" max="2" width="22" customWidth="1"/>
    <col min="3" max="3" width="14" customWidth="1"/>
    <col min="4" max="13" width="16" customWidth="1"/>
    <col min="14" max="14" width="4" customWidth="1"/>
  </cols>
  <sheetData>
    <row r="1" spans="2:13" ht="27.95" customHeight="1" x14ac:dyDescent="0.25">
      <c r="B1" s="56" t="s">
        <v>0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2:13" ht="20.100000000000001" customHeight="1" x14ac:dyDescent="0.25">
      <c r="B2" s="34" t="s">
        <v>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2:13" ht="12" customHeight="1" x14ac:dyDescent="0.25"/>
    <row r="4" spans="2:13" ht="21.95" customHeight="1" x14ac:dyDescent="0.25">
      <c r="B4" s="58" t="s">
        <v>2</v>
      </c>
      <c r="C4" s="59"/>
      <c r="D4" s="50" t="s">
        <v>3</v>
      </c>
      <c r="E4" s="51"/>
      <c r="F4" s="32" t="s">
        <v>4</v>
      </c>
      <c r="G4" s="33"/>
      <c r="H4" s="54" t="s">
        <v>5</v>
      </c>
      <c r="I4" s="55"/>
      <c r="J4" s="36" t="s">
        <v>6</v>
      </c>
      <c r="K4" s="37"/>
      <c r="L4" s="38" t="s">
        <v>7</v>
      </c>
      <c r="M4" s="39"/>
    </row>
    <row r="5" spans="2:13" ht="33.950000000000003" customHeight="1" x14ac:dyDescent="0.25">
      <c r="B5" s="42">
        <f>COUNTA('Payments Received API'!$A$5:$A$23)+COUNTA('Expenses API'!$A$5:$A$14)+COUNTA('Pending API Checks'!$A$5:$A$19)</f>
        <v>44</v>
      </c>
      <c r="C5" s="43"/>
      <c r="D5" s="46">
        <f>COUNTIF('Payments Received API'!$H$5:$H$23,"Completed")+COUNTIF('Payments Received API'!$H$5:$H$23,"PASS")+COUNTIF('Expenses API'!$H$5:$H$14,"Completed")+COUNTIF('Expenses API'!$H$5:$H$14,"PASS")+COUNTIF('Pending API Checks'!$H$5:$H$19,"Completed")+COUNTIF('Pending API Checks'!$H$5:$H$19,"PASS")</f>
        <v>30</v>
      </c>
      <c r="E5" s="47"/>
      <c r="F5" s="44">
        <f>IFERROR(AVERAGE('Payments Received API'!$I$5:$I$23,'Expenses API'!$I$5:$I$14,'Pending API Checks'!$I$5:$I$19),0)</f>
        <v>0.68181818181818177</v>
      </c>
      <c r="G5" s="45"/>
      <c r="H5" s="48">
        <f>COUNTIF('Payments Received API'!$H$5:$H$23,"Blocked")+COUNTIF('Payments Received API'!$H$5:$H$23,"BLOCKED")+COUNTIF('Expenses API'!$H$5:$H$14,"Blocked")+COUNTIF('Expenses API'!$H$5:$H$14,"BLOCKED")+COUNTIF('Pending API Checks'!$H$5:$H$19,"Blocked")+COUNTIF('Pending API Checks'!$H$5:$H$19,"BLOCKED")</f>
        <v>0</v>
      </c>
      <c r="I5" s="49"/>
      <c r="J5" s="40">
        <f>COUNTIF('Payments Received API'!$H$5:$H$23,"Need to Discuss")+COUNTIF('Expenses API'!$H$5:$H$14,"Need to Discuss")+COUNTIF('Pending API Checks'!$H$5:$H$19,"Need to Discuss")+COUNTIF('Payments Received API'!$H$5:$H$23,"FAIL")+COUNTIF('Expenses API'!$H$5:$H$14,"FAIL")+COUNTIF('Pending API Checks'!$H$5:$H$19,"FAIL")</f>
        <v>0</v>
      </c>
      <c r="K5" s="41"/>
      <c r="L5" s="52">
        <f>COUNTIF('Payments Received API'!$H$5:$H$23,"Pending")+COUNTIF('Payments Received API'!$H$5:$H$23,"PENDING")+COUNTIF('Expenses API'!$H$5:$H$14,"Pending")+COUNTIF('Expenses API'!$H$5:$H$14,"PENDING")+COUNTIF('Pending API Checks'!$H$5:$H$19,"Pending")+COUNTIF('Pending API Checks'!$H$5:$H$19,"PENDING")</f>
        <v>28</v>
      </c>
      <c r="M5" s="53"/>
    </row>
    <row r="6" spans="2:13" ht="14.1" customHeight="1" x14ac:dyDescent="0.25"/>
    <row r="7" spans="2:13" ht="24" customHeight="1" x14ac:dyDescent="0.3">
      <c r="B7" s="1" t="s">
        <v>8</v>
      </c>
      <c r="G7" s="1" t="s">
        <v>9</v>
      </c>
    </row>
    <row r="8" spans="2:13" ht="26.1" customHeight="1" x14ac:dyDescent="0.25">
      <c r="B8" s="2" t="s">
        <v>10</v>
      </c>
      <c r="C8" s="2" t="s">
        <v>11</v>
      </c>
      <c r="D8" s="2" t="s">
        <v>12</v>
      </c>
      <c r="E8" s="2" t="s">
        <v>13</v>
      </c>
      <c r="G8" s="2" t="s">
        <v>14</v>
      </c>
      <c r="H8" s="2" t="s">
        <v>15</v>
      </c>
      <c r="I8" s="2" t="s">
        <v>3</v>
      </c>
      <c r="J8" s="2" t="s">
        <v>7</v>
      </c>
      <c r="K8" s="2" t="s">
        <v>5</v>
      </c>
      <c r="L8" s="2" t="s">
        <v>16</v>
      </c>
      <c r="M8" s="2" t="s">
        <v>17</v>
      </c>
    </row>
    <row r="9" spans="2:13" ht="24" customHeight="1" x14ac:dyDescent="0.25">
      <c r="B9" s="3" t="s">
        <v>3</v>
      </c>
      <c r="C9" s="4">
        <f>COUNTIF('Payments Received API'!$H$5:$H$23,"Completed")+COUNTIF('Payments Received API'!$H$5:$H$23,"PASS")+COUNTIF('Expenses API'!$H$5:$H$14,"Completed")+COUNTIF('Expenses API'!$H$5:$H$14,"PASS")+COUNTIF('Pending API Checks'!$H$5:$H$19,"Completed")+COUNTIF('Pending API Checks'!$H$5:$H$19,"PASS")</f>
        <v>30</v>
      </c>
      <c r="D9" s="5">
        <f t="shared" ref="D9:D15" si="0">IFERROR(C9/$B$5,0)</f>
        <v>0.68181818181818177</v>
      </c>
      <c r="E9" s="6">
        <f t="shared" ref="E9:E15" si="1">IF(B9="Completed",C9,0)</f>
        <v>30</v>
      </c>
      <c r="G9" s="7" t="s">
        <v>18</v>
      </c>
      <c r="H9" s="4">
        <f>COUNTA('Payments Received API'!$A$5:$A$23)</f>
        <v>19</v>
      </c>
      <c r="I9" s="6">
        <f>COUNTIF('Payments Received API'!$H$5:$H$23,"Completed")+COUNTIF('Payments Received API'!$H$5:$H$23,"PASS")</f>
        <v>19</v>
      </c>
      <c r="J9" s="6">
        <f>COUNTIF('Payments Received API'!$H$5:$H$23,"Pending")+COUNTIF('Payments Received API'!$H$5:$H$23,"PENDING")</f>
        <v>0</v>
      </c>
      <c r="K9" s="6">
        <f>COUNTIF('Payments Received API'!$H$5:$H$23,"Blocked")+COUNTIF('Payments Received API'!$H$5:$H$23,"BLOCKED")+COUNTIF('Payments Received API'!$H$5:$H$23,"FAIL")</f>
        <v>0</v>
      </c>
      <c r="L9" s="8">
        <f>IFERROR(I9/H9,0)</f>
        <v>1</v>
      </c>
      <c r="M9" s="3" t="str">
        <f>IF(I9=H9,"Completed",IF(K9&gt;0,"Blocked",IF(I9&gt;0,"In Progress","Pending")))</f>
        <v>Completed</v>
      </c>
    </row>
    <row r="10" spans="2:13" ht="24" customHeight="1" x14ac:dyDescent="0.25">
      <c r="B10" s="9" t="s">
        <v>19</v>
      </c>
      <c r="C10" s="10">
        <f>COUNTIF('Payments Received API'!$H$5:$H$23,"In Progress")+COUNTIF('Expenses API'!$H$5:$H$14,"In Progress")+COUNTIF('Pending API Checks'!$H$5:$H$19,"In Progress")</f>
        <v>0</v>
      </c>
      <c r="D10" s="11">
        <f t="shared" si="0"/>
        <v>0</v>
      </c>
      <c r="E10" s="12">
        <f t="shared" si="1"/>
        <v>0</v>
      </c>
      <c r="G10" s="13" t="s">
        <v>20</v>
      </c>
      <c r="H10" s="10">
        <f>COUNTA('Expenses API'!$A$5:$A$14)</f>
        <v>10</v>
      </c>
      <c r="I10" s="12">
        <f>COUNTIF('Expenses API'!$H$5:$H$14,"Completed")+COUNTIF('Expenses API'!$H$5:$H$14,"PASS")</f>
        <v>10</v>
      </c>
      <c r="J10" s="12">
        <f>COUNTIF('Expenses API'!$H$5:$H$14,"Pending")+COUNTIF('Expenses API'!$H$5:$H$14,"PENDING")</f>
        <v>0</v>
      </c>
      <c r="K10" s="12">
        <f>COUNTIF('Expenses API'!$H$5:$H$14,"Blocked")+COUNTIF('Expenses API'!$H$5:$H$14,"BLOCKED")+COUNTIF('Expenses API'!$H$5:$H$14,"FAIL")</f>
        <v>0</v>
      </c>
      <c r="L10" s="14">
        <f>IFERROR(I10/H10,0)</f>
        <v>1</v>
      </c>
      <c r="M10" s="9" t="str">
        <f>IF(I10=H10,"Completed",IF(K10&gt;0,"Blocked",IF(I10&gt;0,"In Progress","Pending")))</f>
        <v>Completed</v>
      </c>
    </row>
    <row r="11" spans="2:13" ht="24" customHeight="1" x14ac:dyDescent="0.25">
      <c r="B11" s="3" t="s">
        <v>21</v>
      </c>
      <c r="C11" s="4">
        <f>COUNTIF('Payments Received API'!$H$5:$H$23,"In Review")+COUNTIF('Expenses API'!$H$5:$H$14,"In Review")+COUNTIF('Pending API Checks'!$H$5:$H$19,"In Review")</f>
        <v>0</v>
      </c>
      <c r="D11" s="5">
        <f t="shared" si="0"/>
        <v>0</v>
      </c>
      <c r="E11" s="6">
        <f t="shared" si="1"/>
        <v>0</v>
      </c>
      <c r="G11" s="7" t="s">
        <v>22</v>
      </c>
      <c r="H11" s="4">
        <f>COUNTA('Pending API Checks'!$A$5:$A$19)</f>
        <v>15</v>
      </c>
      <c r="I11" s="6">
        <f>COUNTIF('Pending API Checks'!$H$5:$H$19,"Completed")+COUNTIF('Pending API Checks'!$H$5:$H$19,"PASS")</f>
        <v>1</v>
      </c>
      <c r="J11" s="6">
        <f>COUNTIF('Pending API Checks'!$H$5:$H$19,"Pending")+COUNTIF('Pending API Checks'!$H$5:$H$19,"PENDING")</f>
        <v>28</v>
      </c>
      <c r="K11" s="6">
        <f>COUNTIF('Pending API Checks'!$H$5:$H$19,"Blocked")+COUNTIF('Pending API Checks'!$H$5:$H$19,"BLOCKED")+COUNTIF('Pending API Checks'!$H$5:$H$19,"FAIL")</f>
        <v>0</v>
      </c>
      <c r="L11" s="8">
        <f>IFERROR(I11/H11,0)</f>
        <v>6.6666666666666666E-2</v>
      </c>
      <c r="M11" s="3" t="str">
        <f>IF(I11=H11,"Completed",IF(K11&gt;0,"Blocked",IF(I11&gt;0,"In Progress","Pending")))</f>
        <v>In Progress</v>
      </c>
    </row>
    <row r="12" spans="2:13" ht="24" customHeight="1" x14ac:dyDescent="0.25">
      <c r="B12" s="9" t="s">
        <v>7</v>
      </c>
      <c r="C12" s="10">
        <f>COUNTIF('Payments Received API'!$H$5:$H$23,"Pending")+COUNTIF('Payments Received API'!$H$5:$H$23,"PENDING")+COUNTIF('Expenses API'!$H$5:$H$14,"Pending")+COUNTIF('Expenses API'!$H$5:$H$14,"PENDING")+COUNTIF('Pending API Checks'!$H$5:$H$19,"Pending")+COUNTIF('Pending API Checks'!$H$5:$H$19,"PENDING")</f>
        <v>28</v>
      </c>
      <c r="D12" s="11">
        <f t="shared" si="0"/>
        <v>0.63636363636363635</v>
      </c>
      <c r="E12" s="12">
        <f t="shared" si="1"/>
        <v>0</v>
      </c>
      <c r="G12" s="15" t="s">
        <v>23</v>
      </c>
      <c r="H12" s="16">
        <f>SUM(H9:H11)</f>
        <v>44</v>
      </c>
      <c r="I12" s="16">
        <f>SUM(I9:I11)</f>
        <v>30</v>
      </c>
      <c r="J12" s="16">
        <f>SUM(J9:J11)</f>
        <v>28</v>
      </c>
      <c r="K12" s="16">
        <f>SUM(K9:K11)</f>
        <v>0</v>
      </c>
      <c r="L12" s="17">
        <f>IFERROR(I12/H12,0)</f>
        <v>0.68181818181818177</v>
      </c>
      <c r="M12" s="18" t="str">
        <f>IF(I12=H12,"Completed",IF(K12&gt;0,"Blocked",IF(I12&gt;0,"In Progress","Pending")))</f>
        <v>In Progress</v>
      </c>
    </row>
    <row r="13" spans="2:13" ht="24" customHeight="1" x14ac:dyDescent="0.25">
      <c r="B13" s="3" t="s">
        <v>5</v>
      </c>
      <c r="C13" s="4">
        <f>COUNTIF('Payments Received API'!$H$5:$H$23,"Blocked")+COUNTIF('Payments Received API'!$H$5:$H$23,"BLOCKED")+COUNTIF('Expenses API'!$H$5:$H$14,"Blocked")+COUNTIF('Expenses API'!$H$5:$H$14,"BLOCKED")+COUNTIF('Pending API Checks'!$H$5:$H$19,"Blocked")+COUNTIF('Pending API Checks'!$H$5:$H$19,"BLOCKED")</f>
        <v>0</v>
      </c>
      <c r="D13" s="5">
        <f t="shared" si="0"/>
        <v>0</v>
      </c>
      <c r="E13" s="6">
        <f t="shared" si="1"/>
        <v>0</v>
      </c>
    </row>
    <row r="14" spans="2:13" ht="24" customHeight="1" x14ac:dyDescent="0.25">
      <c r="B14" s="9" t="s">
        <v>24</v>
      </c>
      <c r="C14" s="10">
        <f>COUNTIF('Payments Received API'!$H$5:$H$23,"Need to Discuss")+COUNTIF('Expenses API'!$H$5:$H$14,"Need to Discuss")+COUNTIF('Pending API Checks'!$H$5:$H$19,"Need to Discuss")+COUNTIF('Payments Received API'!$H$5:$H$23,"FAIL")+COUNTIF('Expenses API'!$H$5:$H$14,"FAIL")+COUNTIF('Pending API Checks'!$H$5:$H$19,"FAIL")</f>
        <v>0</v>
      </c>
      <c r="D14" s="11">
        <f t="shared" si="0"/>
        <v>0</v>
      </c>
      <c r="E14" s="12">
        <f t="shared" si="1"/>
        <v>0</v>
      </c>
    </row>
    <row r="15" spans="2:13" ht="24" customHeight="1" x14ac:dyDescent="0.25">
      <c r="B15" s="3" t="s">
        <v>25</v>
      </c>
      <c r="C15" s="4">
        <f>COUNTIF('Payments Received API'!$H$5:$H$23,"Not Started")+COUNTIF('Expenses API'!$H$5:$H$14,"Not Started")+COUNTIF('Pending API Checks'!$H$5:$H$19,"Not Started")</f>
        <v>0</v>
      </c>
      <c r="D15" s="5">
        <f t="shared" si="0"/>
        <v>0</v>
      </c>
      <c r="E15" s="6">
        <f t="shared" si="1"/>
        <v>0</v>
      </c>
    </row>
    <row r="16" spans="2:13" ht="26.1" customHeight="1" x14ac:dyDescent="0.25">
      <c r="B16" s="15" t="s">
        <v>26</v>
      </c>
      <c r="C16" s="16">
        <f>SUM(C9:C15)</f>
        <v>58</v>
      </c>
      <c r="D16" s="17">
        <f>SUM(D9:D15)</f>
        <v>1.3181818181818181</v>
      </c>
      <c r="E16" s="16">
        <f>SUM(E9:E15)</f>
        <v>30</v>
      </c>
    </row>
  </sheetData>
  <mergeCells count="14">
    <mergeCell ref="B1:M1"/>
    <mergeCell ref="B4:C4"/>
    <mergeCell ref="F4:G4"/>
    <mergeCell ref="B2:M2"/>
    <mergeCell ref="J4:K4"/>
    <mergeCell ref="L4:M4"/>
    <mergeCell ref="J5:K5"/>
    <mergeCell ref="B5:C5"/>
    <mergeCell ref="F5:G5"/>
    <mergeCell ref="D5:E5"/>
    <mergeCell ref="H5:I5"/>
    <mergeCell ref="D4:E4"/>
    <mergeCell ref="L5:M5"/>
    <mergeCell ref="H4:I4"/>
  </mergeCells>
  <conditionalFormatting sqref="B9:B15">
    <cfRule type="cellIs" dxfId="76" priority="1" stopIfTrue="1" operator="equal">
      <formula>"Completed"</formula>
    </cfRule>
    <cfRule type="cellIs" dxfId="75" priority="2" stopIfTrue="1" operator="equal">
      <formula>"PASS"</formula>
    </cfRule>
    <cfRule type="cellIs" dxfId="74" priority="3" stopIfTrue="1" operator="equal">
      <formula>"In Progress"</formula>
    </cfRule>
    <cfRule type="cellIs" dxfId="73" priority="4" stopIfTrue="1" operator="equal">
      <formula>"In Review"</formula>
    </cfRule>
    <cfRule type="cellIs" dxfId="72" priority="5" stopIfTrue="1" operator="equal">
      <formula>"Pending"</formula>
    </cfRule>
    <cfRule type="cellIs" dxfId="71" priority="6" stopIfTrue="1" operator="equal">
      <formula>"PENDING"</formula>
    </cfRule>
    <cfRule type="cellIs" dxfId="70" priority="7" stopIfTrue="1" operator="equal">
      <formula>"Blocked"</formula>
    </cfRule>
    <cfRule type="cellIs" dxfId="69" priority="8" stopIfTrue="1" operator="equal">
      <formula>"BLOCKED"</formula>
    </cfRule>
    <cfRule type="cellIs" dxfId="68" priority="9" stopIfTrue="1" operator="equal">
      <formula>"FAIL"</formula>
    </cfRule>
    <cfRule type="cellIs" dxfId="67" priority="10" stopIfTrue="1" operator="equal">
      <formula>"Need to Discuss"</formula>
    </cfRule>
    <cfRule type="cellIs" dxfId="66" priority="11" stopIfTrue="1" operator="equal">
      <formula>"Not Started"</formula>
    </cfRule>
  </conditionalFormatting>
  <conditionalFormatting sqref="M9:M12">
    <cfRule type="cellIs" dxfId="65" priority="12" stopIfTrue="1" operator="equal">
      <formula>"Completed"</formula>
    </cfRule>
    <cfRule type="cellIs" dxfId="64" priority="13" stopIfTrue="1" operator="equal">
      <formula>"PASS"</formula>
    </cfRule>
    <cfRule type="cellIs" dxfId="63" priority="14" stopIfTrue="1" operator="equal">
      <formula>"In Progress"</formula>
    </cfRule>
    <cfRule type="cellIs" dxfId="62" priority="15" stopIfTrue="1" operator="equal">
      <formula>"In Review"</formula>
    </cfRule>
    <cfRule type="cellIs" dxfId="61" priority="16" stopIfTrue="1" operator="equal">
      <formula>"Pending"</formula>
    </cfRule>
    <cfRule type="cellIs" dxfId="60" priority="17" stopIfTrue="1" operator="equal">
      <formula>"PENDING"</formula>
    </cfRule>
    <cfRule type="cellIs" dxfId="59" priority="18" stopIfTrue="1" operator="equal">
      <formula>"Blocked"</formula>
    </cfRule>
    <cfRule type="cellIs" dxfId="58" priority="19" stopIfTrue="1" operator="equal">
      <formula>"BLOCKED"</formula>
    </cfRule>
    <cfRule type="cellIs" dxfId="57" priority="20" stopIfTrue="1" operator="equal">
      <formula>"FAIL"</formula>
    </cfRule>
    <cfRule type="cellIs" dxfId="56" priority="21" stopIfTrue="1" operator="equal">
      <formula>"Need to Discuss"</formula>
    </cfRule>
    <cfRule type="cellIs" dxfId="55" priority="22" stopIfTrue="1" operator="equal">
      <formula>"Not Started"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K23"/>
  <sheetViews>
    <sheetView zoomScale="60" workbookViewId="0">
      <pane ySplit="4" topLeftCell="A12" activePane="bottomLeft" state="frozen"/>
      <selection pane="bottomLeft" activeCell="J23" sqref="J23"/>
    </sheetView>
  </sheetViews>
  <sheetFormatPr defaultRowHeight="15" x14ac:dyDescent="0.25"/>
  <cols>
    <col min="1" max="1" width="11" customWidth="1"/>
    <col min="2" max="2" width="14" customWidth="1"/>
    <col min="3" max="3" width="48.5703125" bestFit="1" customWidth="1"/>
    <col min="4" max="4" width="109.7109375" bestFit="1" customWidth="1"/>
    <col min="5" max="5" width="33.42578125" bestFit="1" customWidth="1"/>
    <col min="6" max="6" width="36" customWidth="1"/>
    <col min="7" max="7" width="27.5703125" bestFit="1" customWidth="1"/>
    <col min="8" max="8" width="11" bestFit="1" customWidth="1"/>
    <col min="9" max="9" width="12.42578125" bestFit="1" customWidth="1"/>
    <col min="10" max="10" width="24.5703125" bestFit="1" customWidth="1"/>
    <col min="11" max="11" width="17.140625" bestFit="1" customWidth="1"/>
  </cols>
  <sheetData>
    <row r="1" spans="1:11" ht="27.95" customHeight="1" x14ac:dyDescent="0.25">
      <c r="A1" s="56" t="s">
        <v>27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18.95" customHeight="1" x14ac:dyDescent="0.25">
      <c r="A2" s="34" t="s">
        <v>28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1" ht="9.9499999999999993" customHeight="1" x14ac:dyDescent="0.25"/>
    <row r="4" spans="1:11" ht="30" customHeight="1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19" t="s">
        <v>10</v>
      </c>
      <c r="I4" s="19" t="s">
        <v>16</v>
      </c>
      <c r="J4" s="19" t="s">
        <v>36</v>
      </c>
      <c r="K4" s="19" t="s">
        <v>37</v>
      </c>
    </row>
    <row r="5" spans="1:11" ht="96.95" customHeight="1" x14ac:dyDescent="0.25">
      <c r="A5" s="3" t="s">
        <v>38</v>
      </c>
      <c r="B5" s="20" t="s">
        <v>39</v>
      </c>
      <c r="C5" s="21" t="s">
        <v>40</v>
      </c>
      <c r="D5" s="22" t="s">
        <v>41</v>
      </c>
      <c r="E5" s="23" t="s">
        <v>42</v>
      </c>
      <c r="F5" s="23" t="s">
        <v>43</v>
      </c>
      <c r="G5" s="23" t="s">
        <v>44</v>
      </c>
      <c r="H5" s="24" t="s">
        <v>3</v>
      </c>
      <c r="I5" s="8">
        <f t="shared" ref="I5:I23" si="0">IF(OR(H5="Completed",H5="PASS"),1,IF(OR(H5="In Progress",H5="In Review"),0.5,0))</f>
        <v>1</v>
      </c>
      <c r="J5" s="25" t="s">
        <v>350</v>
      </c>
      <c r="K5" s="26"/>
    </row>
    <row r="6" spans="1:11" ht="68.099999999999994" customHeight="1" x14ac:dyDescent="0.25">
      <c r="A6" s="9" t="s">
        <v>45</v>
      </c>
      <c r="B6" s="27" t="s">
        <v>46</v>
      </c>
      <c r="C6" s="21" t="s">
        <v>47</v>
      </c>
      <c r="D6" s="22" t="s">
        <v>48</v>
      </c>
      <c r="E6" s="28" t="s">
        <v>49</v>
      </c>
      <c r="F6" s="28" t="s">
        <v>50</v>
      </c>
      <c r="G6" s="28" t="s">
        <v>51</v>
      </c>
      <c r="H6" s="24" t="s">
        <v>3</v>
      </c>
      <c r="I6" s="14">
        <f t="shared" si="0"/>
        <v>1</v>
      </c>
      <c r="J6" s="25" t="s">
        <v>351</v>
      </c>
      <c r="K6" s="26"/>
    </row>
    <row r="7" spans="1:11" ht="68.099999999999994" customHeight="1" x14ac:dyDescent="0.25">
      <c r="A7" s="3" t="s">
        <v>52</v>
      </c>
      <c r="B7" s="20" t="s">
        <v>46</v>
      </c>
      <c r="C7" s="21" t="s">
        <v>53</v>
      </c>
      <c r="D7" s="22" t="s">
        <v>367</v>
      </c>
      <c r="E7" s="23" t="s">
        <v>54</v>
      </c>
      <c r="F7" s="23" t="s">
        <v>55</v>
      </c>
      <c r="G7" s="23" t="s">
        <v>56</v>
      </c>
      <c r="H7" s="24" t="s">
        <v>3</v>
      </c>
      <c r="I7" s="8">
        <f t="shared" si="0"/>
        <v>1</v>
      </c>
      <c r="J7" s="25" t="s">
        <v>352</v>
      </c>
      <c r="K7" s="26"/>
    </row>
    <row r="8" spans="1:11" ht="68.099999999999994" customHeight="1" x14ac:dyDescent="0.25">
      <c r="A8" s="9" t="s">
        <v>57</v>
      </c>
      <c r="B8" s="27" t="s">
        <v>46</v>
      </c>
      <c r="C8" s="21" t="s">
        <v>58</v>
      </c>
      <c r="D8" s="22" t="s">
        <v>48</v>
      </c>
      <c r="E8" s="28" t="s">
        <v>59</v>
      </c>
      <c r="F8" s="28" t="s">
        <v>60</v>
      </c>
      <c r="G8" s="28" t="s">
        <v>61</v>
      </c>
      <c r="H8" s="24" t="s">
        <v>3</v>
      </c>
      <c r="I8" s="14">
        <f t="shared" si="0"/>
        <v>1</v>
      </c>
      <c r="J8" s="25" t="s">
        <v>353</v>
      </c>
      <c r="K8" s="26"/>
    </row>
    <row r="9" spans="1:11" ht="174.95" customHeight="1" x14ac:dyDescent="0.25">
      <c r="A9" s="3" t="s">
        <v>62</v>
      </c>
      <c r="B9" s="20" t="s">
        <v>39</v>
      </c>
      <c r="C9" s="21" t="s">
        <v>63</v>
      </c>
      <c r="D9" s="22" t="s">
        <v>64</v>
      </c>
      <c r="E9" s="23" t="s">
        <v>65</v>
      </c>
      <c r="F9" s="23" t="s">
        <v>66</v>
      </c>
      <c r="G9" s="23" t="s">
        <v>67</v>
      </c>
      <c r="H9" s="24" t="s">
        <v>3</v>
      </c>
      <c r="I9" s="8">
        <f t="shared" si="0"/>
        <v>1</v>
      </c>
      <c r="J9" s="25" t="s">
        <v>355</v>
      </c>
      <c r="K9" s="26"/>
    </row>
    <row r="10" spans="1:11" ht="53.45" customHeight="1" x14ac:dyDescent="0.25">
      <c r="A10" s="9" t="s">
        <v>68</v>
      </c>
      <c r="B10" s="27" t="s">
        <v>46</v>
      </c>
      <c r="C10" s="21" t="s">
        <v>69</v>
      </c>
      <c r="D10" s="22" t="s">
        <v>48</v>
      </c>
      <c r="E10" s="28" t="s">
        <v>70</v>
      </c>
      <c r="F10" s="28" t="s">
        <v>71</v>
      </c>
      <c r="G10" s="28" t="s">
        <v>72</v>
      </c>
      <c r="H10" s="24" t="s">
        <v>3</v>
      </c>
      <c r="I10" s="14">
        <f t="shared" si="0"/>
        <v>1</v>
      </c>
      <c r="J10" s="25" t="s">
        <v>356</v>
      </c>
      <c r="K10" s="26"/>
    </row>
    <row r="11" spans="1:11" ht="53.45" customHeight="1" x14ac:dyDescent="0.25">
      <c r="A11" s="3" t="s">
        <v>73</v>
      </c>
      <c r="B11" s="20" t="s">
        <v>46</v>
      </c>
      <c r="C11" s="21" t="s">
        <v>74</v>
      </c>
      <c r="D11" s="22" t="s">
        <v>48</v>
      </c>
      <c r="E11" s="23" t="s">
        <v>75</v>
      </c>
      <c r="F11" s="23" t="s">
        <v>76</v>
      </c>
      <c r="G11" s="23" t="s">
        <v>77</v>
      </c>
      <c r="H11" s="24" t="s">
        <v>3</v>
      </c>
      <c r="I11" s="8">
        <f t="shared" si="0"/>
        <v>1</v>
      </c>
      <c r="J11" s="25" t="s">
        <v>357</v>
      </c>
      <c r="K11" s="26"/>
    </row>
    <row r="12" spans="1:11" ht="96.95" customHeight="1" x14ac:dyDescent="0.25">
      <c r="A12" s="9" t="s">
        <v>78</v>
      </c>
      <c r="B12" s="27" t="s">
        <v>79</v>
      </c>
      <c r="C12" s="21" t="s">
        <v>69</v>
      </c>
      <c r="D12" s="22" t="s">
        <v>80</v>
      </c>
      <c r="E12" s="28" t="s">
        <v>81</v>
      </c>
      <c r="F12" s="28" t="s">
        <v>82</v>
      </c>
      <c r="G12" s="28" t="s">
        <v>83</v>
      </c>
      <c r="H12" s="24" t="s">
        <v>3</v>
      </c>
      <c r="I12" s="14">
        <f t="shared" si="0"/>
        <v>1</v>
      </c>
      <c r="J12" s="25" t="s">
        <v>358</v>
      </c>
      <c r="K12" s="26"/>
    </row>
    <row r="13" spans="1:11" ht="96.95" customHeight="1" x14ac:dyDescent="0.25">
      <c r="A13" s="3" t="s">
        <v>84</v>
      </c>
      <c r="B13" s="20" t="s">
        <v>39</v>
      </c>
      <c r="C13" s="21" t="s">
        <v>85</v>
      </c>
      <c r="D13" s="22" t="s">
        <v>86</v>
      </c>
      <c r="E13" s="23" t="s">
        <v>87</v>
      </c>
      <c r="F13" s="23" t="s">
        <v>88</v>
      </c>
      <c r="G13" s="23" t="s">
        <v>89</v>
      </c>
      <c r="H13" s="24" t="s">
        <v>3</v>
      </c>
      <c r="I13" s="8">
        <f t="shared" si="0"/>
        <v>1</v>
      </c>
      <c r="J13" s="25" t="s">
        <v>359</v>
      </c>
      <c r="K13" s="26"/>
    </row>
    <row r="14" spans="1:11" ht="68.099999999999994" customHeight="1" x14ac:dyDescent="0.25">
      <c r="A14" s="9" t="s">
        <v>90</v>
      </c>
      <c r="B14" s="27" t="s">
        <v>91</v>
      </c>
      <c r="C14" s="21" t="s">
        <v>92</v>
      </c>
      <c r="D14" s="22" t="s">
        <v>48</v>
      </c>
      <c r="E14" s="28" t="s">
        <v>93</v>
      </c>
      <c r="F14" s="28" t="s">
        <v>94</v>
      </c>
      <c r="G14" s="28" t="s">
        <v>95</v>
      </c>
      <c r="H14" s="24" t="s">
        <v>3</v>
      </c>
      <c r="I14" s="14">
        <f t="shared" si="0"/>
        <v>1</v>
      </c>
      <c r="J14" s="25" t="s">
        <v>360</v>
      </c>
      <c r="K14" s="26"/>
    </row>
    <row r="15" spans="1:11" ht="82.5" customHeight="1" x14ac:dyDescent="0.25">
      <c r="A15" s="3" t="s">
        <v>96</v>
      </c>
      <c r="B15" s="20" t="s">
        <v>39</v>
      </c>
      <c r="C15" s="21" t="s">
        <v>97</v>
      </c>
      <c r="D15" s="22" t="s">
        <v>98</v>
      </c>
      <c r="E15" s="23" t="s">
        <v>99</v>
      </c>
      <c r="F15" s="23" t="s">
        <v>100</v>
      </c>
      <c r="G15" s="23" t="s">
        <v>101</v>
      </c>
      <c r="H15" s="24" t="s">
        <v>3</v>
      </c>
      <c r="I15" s="8">
        <f t="shared" si="0"/>
        <v>1</v>
      </c>
      <c r="J15" s="25" t="s">
        <v>363</v>
      </c>
      <c r="K15" s="26"/>
    </row>
    <row r="16" spans="1:11" ht="68.099999999999994" customHeight="1" x14ac:dyDescent="0.25">
      <c r="A16" s="9" t="s">
        <v>102</v>
      </c>
      <c r="B16" s="27" t="s">
        <v>39</v>
      </c>
      <c r="C16" s="21" t="s">
        <v>97</v>
      </c>
      <c r="D16" s="22" t="s">
        <v>98</v>
      </c>
      <c r="E16" s="28" t="s">
        <v>103</v>
      </c>
      <c r="F16" s="28" t="s">
        <v>104</v>
      </c>
      <c r="G16" s="28" t="s">
        <v>105</v>
      </c>
      <c r="H16" s="24" t="s">
        <v>3</v>
      </c>
      <c r="I16" s="14">
        <f t="shared" si="0"/>
        <v>1</v>
      </c>
      <c r="J16" s="25" t="s">
        <v>361</v>
      </c>
      <c r="K16" s="26"/>
    </row>
    <row r="17" spans="1:11" ht="68.099999999999994" customHeight="1" x14ac:dyDescent="0.25">
      <c r="A17" s="3" t="s">
        <v>106</v>
      </c>
      <c r="B17" s="20" t="s">
        <v>39</v>
      </c>
      <c r="C17" s="21" t="s">
        <v>107</v>
      </c>
      <c r="D17" s="22" t="s">
        <v>98</v>
      </c>
      <c r="E17" s="23" t="s">
        <v>108</v>
      </c>
      <c r="F17" s="23" t="s">
        <v>109</v>
      </c>
      <c r="G17" s="23" t="s">
        <v>110</v>
      </c>
      <c r="H17" s="24" t="s">
        <v>3</v>
      </c>
      <c r="I17" s="8">
        <f t="shared" si="0"/>
        <v>1</v>
      </c>
      <c r="J17" s="25" t="s">
        <v>364</v>
      </c>
      <c r="K17" s="26"/>
    </row>
    <row r="18" spans="1:11" ht="53.45" customHeight="1" x14ac:dyDescent="0.25">
      <c r="A18" s="9" t="s">
        <v>111</v>
      </c>
      <c r="B18" s="27" t="s">
        <v>91</v>
      </c>
      <c r="C18" s="21" t="s">
        <v>69</v>
      </c>
      <c r="D18" s="22" t="s">
        <v>48</v>
      </c>
      <c r="E18" s="28" t="s">
        <v>112</v>
      </c>
      <c r="F18" s="28" t="s">
        <v>113</v>
      </c>
      <c r="G18" s="28" t="s">
        <v>114</v>
      </c>
      <c r="H18" s="24" t="s">
        <v>3</v>
      </c>
      <c r="I18" s="14">
        <f t="shared" si="0"/>
        <v>1</v>
      </c>
      <c r="J18" s="25" t="s">
        <v>365</v>
      </c>
      <c r="K18" s="26"/>
    </row>
    <row r="19" spans="1:11" ht="155.1" customHeight="1" x14ac:dyDescent="0.25">
      <c r="A19" s="3" t="s">
        <v>115</v>
      </c>
      <c r="B19" s="20" t="s">
        <v>39</v>
      </c>
      <c r="C19" s="21" t="s">
        <v>63</v>
      </c>
      <c r="D19" s="22" t="s">
        <v>116</v>
      </c>
      <c r="E19" s="23" t="s">
        <v>117</v>
      </c>
      <c r="F19" s="23" t="s">
        <v>118</v>
      </c>
      <c r="G19" s="23" t="s">
        <v>119</v>
      </c>
      <c r="H19" s="24" t="s">
        <v>3</v>
      </c>
      <c r="I19" s="8">
        <f t="shared" si="0"/>
        <v>1</v>
      </c>
      <c r="J19" s="25" t="s">
        <v>354</v>
      </c>
      <c r="K19" s="26"/>
    </row>
    <row r="20" spans="1:11" ht="174.95" customHeight="1" x14ac:dyDescent="0.25">
      <c r="A20" s="9" t="s">
        <v>120</v>
      </c>
      <c r="B20" s="27" t="s">
        <v>39</v>
      </c>
      <c r="C20" s="21" t="s">
        <v>63</v>
      </c>
      <c r="D20" s="22" t="s">
        <v>121</v>
      </c>
      <c r="E20" s="28" t="s">
        <v>122</v>
      </c>
      <c r="F20" s="28" t="s">
        <v>123</v>
      </c>
      <c r="G20" s="28" t="s">
        <v>119</v>
      </c>
      <c r="H20" s="24" t="s">
        <v>3</v>
      </c>
      <c r="I20" s="14">
        <f t="shared" si="0"/>
        <v>1</v>
      </c>
      <c r="J20" s="25" t="s">
        <v>354</v>
      </c>
      <c r="K20" s="26"/>
    </row>
    <row r="21" spans="1:11" ht="111.6" customHeight="1" x14ac:dyDescent="0.25">
      <c r="A21" s="3" t="s">
        <v>124</v>
      </c>
      <c r="B21" s="20" t="s">
        <v>39</v>
      </c>
      <c r="C21" s="21" t="s">
        <v>85</v>
      </c>
      <c r="D21" s="22" t="s">
        <v>125</v>
      </c>
      <c r="E21" s="23" t="s">
        <v>126</v>
      </c>
      <c r="F21" s="23" t="s">
        <v>127</v>
      </c>
      <c r="G21" s="23" t="s">
        <v>83</v>
      </c>
      <c r="H21" s="24" t="s">
        <v>3</v>
      </c>
      <c r="I21" s="8">
        <f t="shared" si="0"/>
        <v>1</v>
      </c>
      <c r="J21" s="25" t="s">
        <v>368</v>
      </c>
      <c r="K21" s="26"/>
    </row>
    <row r="22" spans="1:11" ht="53.45" customHeight="1" x14ac:dyDescent="0.25">
      <c r="A22" s="9" t="s">
        <v>128</v>
      </c>
      <c r="B22" s="27" t="s">
        <v>46</v>
      </c>
      <c r="C22" s="21" t="s">
        <v>69</v>
      </c>
      <c r="D22" s="22" t="s">
        <v>129</v>
      </c>
      <c r="E22" s="28" t="s">
        <v>130</v>
      </c>
      <c r="F22" s="28" t="s">
        <v>131</v>
      </c>
      <c r="G22" s="28" t="s">
        <v>132</v>
      </c>
      <c r="H22" s="24" t="s">
        <v>3</v>
      </c>
      <c r="I22" s="14">
        <f t="shared" si="0"/>
        <v>1</v>
      </c>
      <c r="J22" s="25" t="s">
        <v>366</v>
      </c>
      <c r="K22" s="26"/>
    </row>
    <row r="23" spans="1:11" ht="96.95" customHeight="1" x14ac:dyDescent="0.25">
      <c r="A23" s="3" t="s">
        <v>133</v>
      </c>
      <c r="B23" s="20" t="s">
        <v>79</v>
      </c>
      <c r="C23" s="21" t="s">
        <v>69</v>
      </c>
      <c r="D23" s="22" t="s">
        <v>134</v>
      </c>
      <c r="E23" s="23" t="s">
        <v>135</v>
      </c>
      <c r="F23" s="23" t="s">
        <v>136</v>
      </c>
      <c r="G23" s="23" t="s">
        <v>114</v>
      </c>
      <c r="H23" s="24" t="s">
        <v>3</v>
      </c>
      <c r="I23" s="8">
        <f t="shared" si="0"/>
        <v>1</v>
      </c>
      <c r="J23" s="25" t="s">
        <v>369</v>
      </c>
      <c r="K23" s="26"/>
    </row>
  </sheetData>
  <mergeCells count="2">
    <mergeCell ref="A2:K2"/>
    <mergeCell ref="A1:K1"/>
  </mergeCells>
  <phoneticPr fontId="23" type="noConversion"/>
  <conditionalFormatting sqref="B5:B23">
    <cfRule type="cellIs" dxfId="54" priority="12" stopIfTrue="1" operator="equal">
      <formula>"GET"</formula>
    </cfRule>
    <cfRule type="cellIs" dxfId="53" priority="13" stopIfTrue="1" operator="equal">
      <formula>"POST"</formula>
    </cfRule>
    <cfRule type="cellIs" dxfId="52" priority="14" stopIfTrue="1" operator="equal">
      <formula>"PATCH"</formula>
    </cfRule>
    <cfRule type="cellIs" dxfId="51" priority="15" stopIfTrue="1" operator="equal">
      <formula>"DELETE"</formula>
    </cfRule>
  </conditionalFormatting>
  <conditionalFormatting sqref="H5:H23">
    <cfRule type="cellIs" dxfId="50" priority="1" stopIfTrue="1" operator="equal">
      <formula>"Completed"</formula>
    </cfRule>
    <cfRule type="cellIs" dxfId="49" priority="2" stopIfTrue="1" operator="equal">
      <formula>"PASS"</formula>
    </cfRule>
    <cfRule type="cellIs" dxfId="48" priority="3" stopIfTrue="1" operator="equal">
      <formula>"In Progress"</formula>
    </cfRule>
    <cfRule type="cellIs" dxfId="47" priority="4" stopIfTrue="1" operator="equal">
      <formula>"In Review"</formula>
    </cfRule>
    <cfRule type="cellIs" dxfId="46" priority="5" stopIfTrue="1" operator="equal">
      <formula>"Pending"</formula>
    </cfRule>
    <cfRule type="cellIs" dxfId="45" priority="6" stopIfTrue="1" operator="equal">
      <formula>"PENDING"</formula>
    </cfRule>
    <cfRule type="cellIs" dxfId="44" priority="7" stopIfTrue="1" operator="equal">
      <formula>"Blocked"</formula>
    </cfRule>
    <cfRule type="cellIs" dxfId="43" priority="8" stopIfTrue="1" operator="equal">
      <formula>"BLOCKED"</formula>
    </cfRule>
    <cfRule type="cellIs" dxfId="42" priority="9" stopIfTrue="1" operator="equal">
      <formula>"FAIL"</formula>
    </cfRule>
    <cfRule type="cellIs" dxfId="41" priority="10" stopIfTrue="1" operator="equal">
      <formula>"Need to Discuss"</formula>
    </cfRule>
    <cfRule type="cellIs" dxfId="40" priority="11" stopIfTrue="1" operator="equal">
      <formula>"Not Started"</formula>
    </cfRule>
  </conditionalFormatting>
  <dataValidations count="1">
    <dataValidation type="list" promptTitle="Select Status" prompt="Click to mark Completed (or PASS, FAIL, Blocked, In Progress, Pending)" sqref="H5:H23" xr:uid="{00000000-0002-0000-0100-000000000000}">
      <formula1>"Completed,In Progress,In Review,Pending,Blocked,Need to Discuss,Not Started,PASS,FAIL"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59669"/>
  </sheetPr>
  <dimension ref="A1:K14"/>
  <sheetViews>
    <sheetView tabSelected="1" zoomScale="70" workbookViewId="0">
      <pane ySplit="4" topLeftCell="A5" activePane="bottomLeft" state="frozen"/>
      <selection pane="bottomLeft" activeCell="H14" sqref="H14"/>
    </sheetView>
  </sheetViews>
  <sheetFormatPr defaultRowHeight="15" x14ac:dyDescent="0.25"/>
  <cols>
    <col min="1" max="1" width="11" customWidth="1"/>
    <col min="2" max="2" width="14" customWidth="1"/>
    <col min="3" max="3" width="64.5703125" customWidth="1"/>
    <col min="4" max="4" width="42" customWidth="1"/>
    <col min="5" max="5" width="34" customWidth="1"/>
    <col min="6" max="6" width="36" customWidth="1"/>
    <col min="7" max="7" width="28" customWidth="1"/>
    <col min="8" max="8" width="18" customWidth="1"/>
    <col min="9" max="9" width="12" customWidth="1"/>
    <col min="10" max="10" width="36" customWidth="1"/>
    <col min="11" max="11" width="15" customWidth="1"/>
  </cols>
  <sheetData>
    <row r="1" spans="1:11" ht="27.95" customHeight="1" x14ac:dyDescent="0.25">
      <c r="A1" s="56" t="s">
        <v>137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18.95" customHeight="1" x14ac:dyDescent="0.25">
      <c r="A2" s="34" t="s">
        <v>28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1" ht="9.9499999999999993" customHeight="1" x14ac:dyDescent="0.25"/>
    <row r="4" spans="1:11" ht="30" customHeight="1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19" t="s">
        <v>10</v>
      </c>
      <c r="I4" s="19" t="s">
        <v>16</v>
      </c>
      <c r="J4" s="19" t="s">
        <v>36</v>
      </c>
      <c r="K4" s="19" t="s">
        <v>37</v>
      </c>
    </row>
    <row r="5" spans="1:11" ht="174.95" customHeight="1" x14ac:dyDescent="0.25">
      <c r="A5" s="3" t="s">
        <v>138</v>
      </c>
      <c r="B5" s="20" t="s">
        <v>39</v>
      </c>
      <c r="C5" s="21" t="s">
        <v>139</v>
      </c>
      <c r="D5" s="22" t="s">
        <v>140</v>
      </c>
      <c r="E5" s="23" t="s">
        <v>141</v>
      </c>
      <c r="F5" s="23" t="s">
        <v>142</v>
      </c>
      <c r="G5" s="23" t="s">
        <v>143</v>
      </c>
      <c r="H5" s="24" t="s">
        <v>3</v>
      </c>
      <c r="I5" s="8">
        <f t="shared" ref="I5:I14" si="0">IF(OR(H5="Completed",H5="PASS"),1,IF(OR(H5="In Progress",H5="In Review"),0.5,0))</f>
        <v>1</v>
      </c>
      <c r="J5" s="25" t="s">
        <v>371</v>
      </c>
      <c r="K5" s="26"/>
    </row>
    <row r="6" spans="1:11" ht="39" customHeight="1" x14ac:dyDescent="0.25">
      <c r="A6" s="9" t="s">
        <v>144</v>
      </c>
      <c r="B6" s="27" t="s">
        <v>46</v>
      </c>
      <c r="C6" s="21" t="s">
        <v>145</v>
      </c>
      <c r="D6" s="22" t="s">
        <v>48</v>
      </c>
      <c r="E6" s="28" t="s">
        <v>146</v>
      </c>
      <c r="F6" s="28" t="s">
        <v>147</v>
      </c>
      <c r="G6" s="28" t="s">
        <v>148</v>
      </c>
      <c r="H6" s="24" t="s">
        <v>3</v>
      </c>
      <c r="I6" s="14">
        <f t="shared" si="0"/>
        <v>1</v>
      </c>
      <c r="J6" s="25" t="s">
        <v>370</v>
      </c>
      <c r="K6" s="26"/>
    </row>
    <row r="7" spans="1:11" ht="39" customHeight="1" x14ac:dyDescent="0.25">
      <c r="A7" s="3" t="s">
        <v>149</v>
      </c>
      <c r="B7" s="20" t="s">
        <v>46</v>
      </c>
      <c r="C7" s="21" t="s">
        <v>150</v>
      </c>
      <c r="D7" s="22" t="s">
        <v>48</v>
      </c>
      <c r="E7" s="23" t="s">
        <v>151</v>
      </c>
      <c r="F7" s="23" t="s">
        <v>152</v>
      </c>
      <c r="G7" s="23" t="s">
        <v>77</v>
      </c>
      <c r="H7" s="24" t="s">
        <v>3</v>
      </c>
      <c r="I7" s="8">
        <f t="shared" si="0"/>
        <v>1</v>
      </c>
      <c r="J7" s="25" t="s">
        <v>372</v>
      </c>
      <c r="K7" s="26"/>
    </row>
    <row r="8" spans="1:11" ht="82.5" customHeight="1" x14ac:dyDescent="0.25">
      <c r="A8" s="9" t="s">
        <v>153</v>
      </c>
      <c r="B8" s="27" t="s">
        <v>79</v>
      </c>
      <c r="C8" s="21" t="s">
        <v>145</v>
      </c>
      <c r="D8" s="22" t="s">
        <v>154</v>
      </c>
      <c r="E8" s="28" t="s">
        <v>155</v>
      </c>
      <c r="F8" s="28" t="s">
        <v>156</v>
      </c>
      <c r="G8" s="28" t="s">
        <v>157</v>
      </c>
      <c r="H8" s="24" t="s">
        <v>3</v>
      </c>
      <c r="I8" s="14">
        <f t="shared" si="0"/>
        <v>1</v>
      </c>
      <c r="J8" s="25" t="s">
        <v>372</v>
      </c>
      <c r="K8" s="26"/>
    </row>
    <row r="9" spans="1:11" ht="39" customHeight="1" x14ac:dyDescent="0.25">
      <c r="A9" s="3" t="s">
        <v>158</v>
      </c>
      <c r="B9" s="20" t="s">
        <v>39</v>
      </c>
      <c r="C9" s="21" t="s">
        <v>159</v>
      </c>
      <c r="D9" s="22" t="s">
        <v>98</v>
      </c>
      <c r="E9" s="23" t="s">
        <v>160</v>
      </c>
      <c r="F9" s="23" t="s">
        <v>161</v>
      </c>
      <c r="G9" s="23" t="s">
        <v>157</v>
      </c>
      <c r="H9" s="24" t="s">
        <v>3</v>
      </c>
      <c r="I9" s="8">
        <f t="shared" si="0"/>
        <v>1</v>
      </c>
      <c r="J9" s="25" t="s">
        <v>362</v>
      </c>
      <c r="K9" s="26"/>
    </row>
    <row r="10" spans="1:11" ht="39" customHeight="1" x14ac:dyDescent="0.25">
      <c r="A10" s="9" t="s">
        <v>162</v>
      </c>
      <c r="B10" s="27" t="s">
        <v>39</v>
      </c>
      <c r="C10" s="21" t="s">
        <v>163</v>
      </c>
      <c r="D10" s="22" t="s">
        <v>98</v>
      </c>
      <c r="E10" s="28" t="s">
        <v>164</v>
      </c>
      <c r="F10" s="28" t="s">
        <v>165</v>
      </c>
      <c r="G10" s="28" t="s">
        <v>166</v>
      </c>
      <c r="H10" s="24" t="s">
        <v>3</v>
      </c>
      <c r="I10" s="14">
        <f t="shared" si="0"/>
        <v>1</v>
      </c>
      <c r="J10" s="25" t="s">
        <v>362</v>
      </c>
      <c r="K10" s="26"/>
    </row>
    <row r="11" spans="1:11" ht="82.5" customHeight="1" x14ac:dyDescent="0.25">
      <c r="A11" s="3" t="s">
        <v>167</v>
      </c>
      <c r="B11" s="20" t="s">
        <v>39</v>
      </c>
      <c r="C11" s="21" t="s">
        <v>168</v>
      </c>
      <c r="D11" s="22" t="s">
        <v>169</v>
      </c>
      <c r="E11" s="23" t="s">
        <v>170</v>
      </c>
      <c r="F11" s="23" t="s">
        <v>171</v>
      </c>
      <c r="G11" s="23" t="s">
        <v>172</v>
      </c>
      <c r="H11" s="24" t="s">
        <v>3</v>
      </c>
      <c r="I11" s="8">
        <f t="shared" si="0"/>
        <v>1</v>
      </c>
      <c r="J11" s="25" t="s">
        <v>374</v>
      </c>
      <c r="K11" s="26"/>
    </row>
    <row r="12" spans="1:11" ht="53.45" customHeight="1" x14ac:dyDescent="0.25">
      <c r="A12" s="9" t="s">
        <v>173</v>
      </c>
      <c r="B12" s="27" t="s">
        <v>39</v>
      </c>
      <c r="C12" s="21" t="s">
        <v>174</v>
      </c>
      <c r="D12" s="22" t="s">
        <v>98</v>
      </c>
      <c r="E12" s="28" t="s">
        <v>175</v>
      </c>
      <c r="F12" s="28" t="s">
        <v>176</v>
      </c>
      <c r="G12" s="28" t="s">
        <v>177</v>
      </c>
      <c r="H12" s="24" t="s">
        <v>3</v>
      </c>
      <c r="I12" s="14">
        <f t="shared" si="0"/>
        <v>1</v>
      </c>
      <c r="J12" s="25" t="s">
        <v>362</v>
      </c>
      <c r="K12" s="26"/>
    </row>
    <row r="13" spans="1:11" ht="39" customHeight="1" x14ac:dyDescent="0.25">
      <c r="A13" s="3" t="s">
        <v>178</v>
      </c>
      <c r="B13" s="20" t="s">
        <v>91</v>
      </c>
      <c r="C13" s="21" t="s">
        <v>145</v>
      </c>
      <c r="D13" s="22" t="s">
        <v>48</v>
      </c>
      <c r="E13" s="23" t="s">
        <v>179</v>
      </c>
      <c r="F13" s="23" t="s">
        <v>180</v>
      </c>
      <c r="G13" s="23" t="s">
        <v>181</v>
      </c>
      <c r="H13" s="24" t="s">
        <v>3</v>
      </c>
      <c r="I13" s="8">
        <f t="shared" si="0"/>
        <v>1</v>
      </c>
      <c r="J13" s="25" t="s">
        <v>373</v>
      </c>
      <c r="K13" s="26"/>
    </row>
    <row r="14" spans="1:11" ht="174.95" customHeight="1" x14ac:dyDescent="0.25">
      <c r="A14" s="9" t="s">
        <v>182</v>
      </c>
      <c r="B14" s="27" t="s">
        <v>39</v>
      </c>
      <c r="C14" s="21" t="s">
        <v>139</v>
      </c>
      <c r="D14" s="22" t="s">
        <v>183</v>
      </c>
      <c r="E14" s="28" t="s">
        <v>184</v>
      </c>
      <c r="F14" s="28" t="s">
        <v>185</v>
      </c>
      <c r="G14" s="28" t="s">
        <v>143</v>
      </c>
      <c r="H14" s="24" t="s">
        <v>3</v>
      </c>
      <c r="I14" s="14">
        <f t="shared" si="0"/>
        <v>1</v>
      </c>
      <c r="J14" s="25" t="s">
        <v>375</v>
      </c>
      <c r="K14" s="26"/>
    </row>
  </sheetData>
  <mergeCells count="2">
    <mergeCell ref="A2:K2"/>
    <mergeCell ref="A1:K1"/>
  </mergeCells>
  <conditionalFormatting sqref="B5:B14">
    <cfRule type="cellIs" dxfId="39" priority="12" stopIfTrue="1" operator="equal">
      <formula>"GET"</formula>
    </cfRule>
    <cfRule type="cellIs" dxfId="38" priority="13" stopIfTrue="1" operator="equal">
      <formula>"POST"</formula>
    </cfRule>
    <cfRule type="cellIs" dxfId="37" priority="14" stopIfTrue="1" operator="equal">
      <formula>"PATCH"</formula>
    </cfRule>
    <cfRule type="cellIs" dxfId="36" priority="15" stopIfTrue="1" operator="equal">
      <formula>"DELETE"</formula>
    </cfRule>
  </conditionalFormatting>
  <conditionalFormatting sqref="H5:H14">
    <cfRule type="cellIs" dxfId="35" priority="1" stopIfTrue="1" operator="equal">
      <formula>"Completed"</formula>
    </cfRule>
    <cfRule type="cellIs" dxfId="34" priority="2" stopIfTrue="1" operator="equal">
      <formula>"PASS"</formula>
    </cfRule>
    <cfRule type="cellIs" dxfId="33" priority="3" stopIfTrue="1" operator="equal">
      <formula>"In Progress"</formula>
    </cfRule>
    <cfRule type="cellIs" dxfId="32" priority="4" stopIfTrue="1" operator="equal">
      <formula>"In Review"</formula>
    </cfRule>
    <cfRule type="cellIs" dxfId="31" priority="5" stopIfTrue="1" operator="equal">
      <formula>"Pending"</formula>
    </cfRule>
    <cfRule type="cellIs" dxfId="30" priority="6" stopIfTrue="1" operator="equal">
      <formula>"PENDING"</formula>
    </cfRule>
    <cfRule type="cellIs" dxfId="29" priority="7" stopIfTrue="1" operator="equal">
      <formula>"Blocked"</formula>
    </cfRule>
    <cfRule type="cellIs" dxfId="28" priority="8" stopIfTrue="1" operator="equal">
      <formula>"BLOCKED"</formula>
    </cfRule>
    <cfRule type="cellIs" dxfId="27" priority="9" stopIfTrue="1" operator="equal">
      <formula>"FAIL"</formula>
    </cfRule>
    <cfRule type="cellIs" dxfId="26" priority="10" stopIfTrue="1" operator="equal">
      <formula>"Need to Discuss"</formula>
    </cfRule>
    <cfRule type="cellIs" dxfId="25" priority="11" stopIfTrue="1" operator="equal">
      <formula>"Not Started"</formula>
    </cfRule>
  </conditionalFormatting>
  <dataValidations count="1">
    <dataValidation type="list" promptTitle="Select Status" prompt="Click to mark Completed (or PASS, FAIL, Blocked, In Progress, Pending)" sqref="H5:H14" xr:uid="{00000000-0002-0000-0200-000000000000}">
      <formula1>"Completed,In Progress,In Review,Pending,Blocked,Need to Discuss,Not Started,PASS,FAIL"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7706"/>
  </sheetPr>
  <dimension ref="A1:K19"/>
  <sheetViews>
    <sheetView workbookViewId="0">
      <pane ySplit="4" topLeftCell="A7" activePane="bottomLeft" state="frozen"/>
      <selection pane="bottomLeft" activeCell="E10" sqref="E10"/>
    </sheetView>
  </sheetViews>
  <sheetFormatPr defaultRowHeight="15" x14ac:dyDescent="0.25"/>
  <cols>
    <col min="1" max="1" width="11" customWidth="1"/>
    <col min="2" max="2" width="22" customWidth="1"/>
    <col min="3" max="3" width="28" customWidth="1"/>
    <col min="4" max="5" width="34" customWidth="1"/>
    <col min="6" max="6" width="36" customWidth="1"/>
    <col min="7" max="7" width="12" customWidth="1"/>
    <col min="8" max="8" width="18" customWidth="1"/>
    <col min="9" max="9" width="12" customWidth="1"/>
    <col min="10" max="10" width="36" customWidth="1"/>
    <col min="11" max="11" width="15" customWidth="1"/>
  </cols>
  <sheetData>
    <row r="1" spans="1:11" ht="27.95" customHeight="1" x14ac:dyDescent="0.25">
      <c r="A1" s="56" t="s">
        <v>186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18.95" customHeight="1" x14ac:dyDescent="0.25">
      <c r="A2" s="34" t="s">
        <v>187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1" ht="9.9499999999999993" customHeight="1" x14ac:dyDescent="0.25"/>
    <row r="4" spans="1:11" ht="30" customHeight="1" x14ac:dyDescent="0.25">
      <c r="A4" s="2" t="s">
        <v>188</v>
      </c>
      <c r="B4" s="2" t="s">
        <v>189</v>
      </c>
      <c r="C4" s="2" t="s">
        <v>190</v>
      </c>
      <c r="D4" s="2" t="s">
        <v>191</v>
      </c>
      <c r="E4" s="2" t="s">
        <v>192</v>
      </c>
      <c r="F4" s="2" t="s">
        <v>193</v>
      </c>
      <c r="G4" s="2" t="s">
        <v>194</v>
      </c>
      <c r="H4" s="19" t="s">
        <v>10</v>
      </c>
      <c r="I4" s="19" t="s">
        <v>16</v>
      </c>
      <c r="J4" s="19" t="s">
        <v>195</v>
      </c>
      <c r="K4" s="19" t="s">
        <v>37</v>
      </c>
    </row>
    <row r="5" spans="1:11" ht="39" customHeight="1" x14ac:dyDescent="0.25">
      <c r="A5" s="3" t="s">
        <v>196</v>
      </c>
      <c r="B5" s="29" t="s">
        <v>197</v>
      </c>
      <c r="C5" s="7" t="s">
        <v>198</v>
      </c>
      <c r="D5" s="23" t="s">
        <v>199</v>
      </c>
      <c r="E5" s="23" t="s">
        <v>200</v>
      </c>
      <c r="F5" s="23" t="s">
        <v>201</v>
      </c>
      <c r="G5" s="3" t="s">
        <v>202</v>
      </c>
      <c r="H5" s="24" t="s">
        <v>376</v>
      </c>
      <c r="I5" s="8">
        <f t="shared" ref="I5:I19" si="0">IF(OR(H5="Completed",H5="PASS"),1,IF(OR(H5="In Progress",H5="In Review"),0.5,0))</f>
        <v>1</v>
      </c>
      <c r="J5" s="25"/>
      <c r="K5" s="26"/>
    </row>
    <row r="6" spans="1:11" ht="39" customHeight="1" x14ac:dyDescent="0.25">
      <c r="A6" s="9" t="s">
        <v>203</v>
      </c>
      <c r="B6" s="30" t="s">
        <v>197</v>
      </c>
      <c r="C6" s="13" t="s">
        <v>204</v>
      </c>
      <c r="D6" s="28" t="s">
        <v>205</v>
      </c>
      <c r="E6" s="28" t="s">
        <v>206</v>
      </c>
      <c r="F6" s="28" t="s">
        <v>207</v>
      </c>
      <c r="G6" s="9" t="s">
        <v>202</v>
      </c>
      <c r="H6" s="24" t="s">
        <v>7</v>
      </c>
      <c r="I6" s="14">
        <f t="shared" si="0"/>
        <v>0</v>
      </c>
      <c r="J6" s="25"/>
      <c r="K6" s="26"/>
    </row>
    <row r="7" spans="1:11" ht="53.45" customHeight="1" x14ac:dyDescent="0.25">
      <c r="A7" s="3" t="s">
        <v>208</v>
      </c>
      <c r="B7" s="29" t="s">
        <v>197</v>
      </c>
      <c r="C7" s="7" t="s">
        <v>209</v>
      </c>
      <c r="D7" s="23" t="s">
        <v>210</v>
      </c>
      <c r="E7" s="23" t="s">
        <v>211</v>
      </c>
      <c r="F7" s="23" t="s">
        <v>212</v>
      </c>
      <c r="G7" s="3" t="s">
        <v>202</v>
      </c>
      <c r="H7" s="24" t="s">
        <v>7</v>
      </c>
      <c r="I7" s="8">
        <f t="shared" si="0"/>
        <v>0</v>
      </c>
      <c r="J7" s="25"/>
      <c r="K7" s="26"/>
    </row>
    <row r="8" spans="1:11" ht="53.45" customHeight="1" x14ac:dyDescent="0.25">
      <c r="A8" s="9" t="s">
        <v>213</v>
      </c>
      <c r="B8" s="30" t="s">
        <v>197</v>
      </c>
      <c r="C8" s="13" t="s">
        <v>214</v>
      </c>
      <c r="D8" s="28" t="s">
        <v>215</v>
      </c>
      <c r="E8" s="28" t="s">
        <v>216</v>
      </c>
      <c r="F8" s="28" t="s">
        <v>217</v>
      </c>
      <c r="G8" s="9" t="s">
        <v>202</v>
      </c>
      <c r="H8" s="24" t="s">
        <v>7</v>
      </c>
      <c r="I8" s="14">
        <f t="shared" si="0"/>
        <v>0</v>
      </c>
      <c r="J8" s="25"/>
      <c r="K8" s="26"/>
    </row>
    <row r="9" spans="1:11" ht="68.099999999999994" customHeight="1" x14ac:dyDescent="0.25">
      <c r="A9" s="3" t="s">
        <v>218</v>
      </c>
      <c r="B9" s="29" t="s">
        <v>197</v>
      </c>
      <c r="C9" s="7" t="s">
        <v>219</v>
      </c>
      <c r="D9" s="23" t="s">
        <v>220</v>
      </c>
      <c r="E9" s="23" t="s">
        <v>221</v>
      </c>
      <c r="F9" s="23" t="s">
        <v>222</v>
      </c>
      <c r="G9" s="3" t="s">
        <v>223</v>
      </c>
      <c r="H9" s="24" t="s">
        <v>7</v>
      </c>
      <c r="I9" s="8">
        <f t="shared" si="0"/>
        <v>0</v>
      </c>
      <c r="J9" s="25"/>
      <c r="K9" s="26"/>
    </row>
    <row r="10" spans="1:11" ht="53.45" customHeight="1" x14ac:dyDescent="0.25">
      <c r="A10" s="9" t="s">
        <v>224</v>
      </c>
      <c r="B10" s="30" t="s">
        <v>197</v>
      </c>
      <c r="C10" s="13" t="s">
        <v>225</v>
      </c>
      <c r="D10" s="28" t="s">
        <v>226</v>
      </c>
      <c r="E10" s="28" t="s">
        <v>227</v>
      </c>
      <c r="F10" s="28" t="s">
        <v>228</v>
      </c>
      <c r="G10" s="9" t="s">
        <v>202</v>
      </c>
      <c r="H10" s="24" t="s">
        <v>7</v>
      </c>
      <c r="I10" s="14">
        <f t="shared" si="0"/>
        <v>0</v>
      </c>
      <c r="J10" s="25"/>
      <c r="K10" s="26"/>
    </row>
    <row r="11" spans="1:11" ht="53.45" customHeight="1" x14ac:dyDescent="0.25">
      <c r="A11" s="3" t="s">
        <v>229</v>
      </c>
      <c r="B11" s="29" t="s">
        <v>230</v>
      </c>
      <c r="C11" s="7" t="s">
        <v>231</v>
      </c>
      <c r="D11" s="23" t="s">
        <v>232</v>
      </c>
      <c r="E11" s="23" t="s">
        <v>233</v>
      </c>
      <c r="F11" s="23" t="s">
        <v>234</v>
      </c>
      <c r="G11" s="3" t="s">
        <v>235</v>
      </c>
      <c r="H11" s="24" t="s">
        <v>7</v>
      </c>
      <c r="I11" s="8">
        <f t="shared" si="0"/>
        <v>0</v>
      </c>
      <c r="J11" s="25"/>
      <c r="K11" s="26"/>
    </row>
    <row r="12" spans="1:11" ht="53.45" customHeight="1" x14ac:dyDescent="0.25">
      <c r="A12" s="9" t="s">
        <v>236</v>
      </c>
      <c r="B12" s="30" t="s">
        <v>18</v>
      </c>
      <c r="C12" s="13" t="s">
        <v>237</v>
      </c>
      <c r="D12" s="28" t="s">
        <v>238</v>
      </c>
      <c r="E12" s="28" t="s">
        <v>239</v>
      </c>
      <c r="F12" s="28" t="s">
        <v>240</v>
      </c>
      <c r="G12" s="9" t="s">
        <v>235</v>
      </c>
      <c r="H12" s="24" t="s">
        <v>7</v>
      </c>
      <c r="I12" s="14">
        <f t="shared" si="0"/>
        <v>0</v>
      </c>
      <c r="J12" s="25"/>
      <c r="K12" s="26"/>
    </row>
    <row r="13" spans="1:11" ht="39" customHeight="1" x14ac:dyDescent="0.25">
      <c r="A13" s="3" t="s">
        <v>241</v>
      </c>
      <c r="B13" s="29" t="s">
        <v>242</v>
      </c>
      <c r="C13" s="7" t="s">
        <v>243</v>
      </c>
      <c r="D13" s="23" t="s">
        <v>244</v>
      </c>
      <c r="E13" s="23" t="s">
        <v>245</v>
      </c>
      <c r="F13" s="23" t="s">
        <v>246</v>
      </c>
      <c r="G13" s="3" t="s">
        <v>202</v>
      </c>
      <c r="H13" s="24" t="s">
        <v>7</v>
      </c>
      <c r="I13" s="8">
        <f t="shared" si="0"/>
        <v>0</v>
      </c>
      <c r="J13" s="25"/>
      <c r="K13" s="26"/>
    </row>
    <row r="14" spans="1:11" ht="39" customHeight="1" x14ac:dyDescent="0.25">
      <c r="A14" s="9" t="s">
        <v>247</v>
      </c>
      <c r="B14" s="30" t="s">
        <v>242</v>
      </c>
      <c r="C14" s="13" t="s">
        <v>248</v>
      </c>
      <c r="D14" s="28" t="s">
        <v>249</v>
      </c>
      <c r="E14" s="28" t="s">
        <v>250</v>
      </c>
      <c r="F14" s="28" t="s">
        <v>251</v>
      </c>
      <c r="G14" s="9" t="s">
        <v>202</v>
      </c>
      <c r="H14" s="24" t="s">
        <v>7</v>
      </c>
      <c r="I14" s="14">
        <f t="shared" si="0"/>
        <v>0</v>
      </c>
      <c r="J14" s="25"/>
      <c r="K14" s="26"/>
    </row>
    <row r="15" spans="1:11" ht="39" customHeight="1" x14ac:dyDescent="0.25">
      <c r="A15" s="3" t="s">
        <v>252</v>
      </c>
      <c r="B15" s="29" t="s">
        <v>242</v>
      </c>
      <c r="C15" s="7" t="s">
        <v>253</v>
      </c>
      <c r="D15" s="23" t="s">
        <v>254</v>
      </c>
      <c r="E15" s="23" t="s">
        <v>255</v>
      </c>
      <c r="F15" s="23" t="s">
        <v>256</v>
      </c>
      <c r="G15" s="3" t="s">
        <v>202</v>
      </c>
      <c r="H15" s="24" t="s">
        <v>7</v>
      </c>
      <c r="I15" s="8">
        <f t="shared" si="0"/>
        <v>0</v>
      </c>
      <c r="J15" s="25"/>
      <c r="K15" s="26"/>
    </row>
    <row r="16" spans="1:11" ht="39" customHeight="1" x14ac:dyDescent="0.25">
      <c r="A16" s="9" t="s">
        <v>257</v>
      </c>
      <c r="B16" s="30" t="s">
        <v>258</v>
      </c>
      <c r="C16" s="13" t="s">
        <v>259</v>
      </c>
      <c r="D16" s="28" t="s">
        <v>260</v>
      </c>
      <c r="E16" s="28" t="s">
        <v>261</v>
      </c>
      <c r="F16" s="28" t="s">
        <v>262</v>
      </c>
      <c r="G16" s="9" t="s">
        <v>202</v>
      </c>
      <c r="H16" s="24" t="s">
        <v>7</v>
      </c>
      <c r="I16" s="14">
        <f t="shared" si="0"/>
        <v>0</v>
      </c>
      <c r="J16" s="25"/>
      <c r="K16" s="26"/>
    </row>
    <row r="17" spans="1:11" ht="68.099999999999994" customHeight="1" x14ac:dyDescent="0.25">
      <c r="A17" s="3" t="s">
        <v>263</v>
      </c>
      <c r="B17" s="29" t="s">
        <v>264</v>
      </c>
      <c r="C17" s="7" t="s">
        <v>265</v>
      </c>
      <c r="D17" s="23" t="s">
        <v>266</v>
      </c>
      <c r="E17" s="23" t="s">
        <v>267</v>
      </c>
      <c r="F17" s="23" t="s">
        <v>268</v>
      </c>
      <c r="G17" s="3" t="s">
        <v>202</v>
      </c>
      <c r="H17" s="24" t="s">
        <v>7</v>
      </c>
      <c r="I17" s="8">
        <f t="shared" si="0"/>
        <v>0</v>
      </c>
      <c r="J17" s="25"/>
      <c r="K17" s="26"/>
    </row>
    <row r="18" spans="1:11" ht="53.45" customHeight="1" x14ac:dyDescent="0.25">
      <c r="A18" s="9" t="s">
        <v>269</v>
      </c>
      <c r="B18" s="30" t="s">
        <v>270</v>
      </c>
      <c r="C18" s="13" t="s">
        <v>271</v>
      </c>
      <c r="D18" s="28" t="s">
        <v>272</v>
      </c>
      <c r="E18" s="28" t="s">
        <v>273</v>
      </c>
      <c r="F18" s="28" t="s">
        <v>274</v>
      </c>
      <c r="G18" s="9" t="s">
        <v>202</v>
      </c>
      <c r="H18" s="24" t="s">
        <v>7</v>
      </c>
      <c r="I18" s="14">
        <f t="shared" si="0"/>
        <v>0</v>
      </c>
      <c r="J18" s="25"/>
      <c r="K18" s="26"/>
    </row>
    <row r="19" spans="1:11" ht="53.45" customHeight="1" x14ac:dyDescent="0.25">
      <c r="A19" s="3" t="s">
        <v>275</v>
      </c>
      <c r="B19" s="29" t="s">
        <v>276</v>
      </c>
      <c r="C19" s="7" t="s">
        <v>277</v>
      </c>
      <c r="D19" s="23" t="s">
        <v>278</v>
      </c>
      <c r="E19" s="23" t="s">
        <v>279</v>
      </c>
      <c r="F19" s="23" t="s">
        <v>280</v>
      </c>
      <c r="G19" s="3" t="s">
        <v>202</v>
      </c>
      <c r="H19" s="24" t="s">
        <v>7</v>
      </c>
      <c r="I19" s="8">
        <f t="shared" si="0"/>
        <v>0</v>
      </c>
      <c r="J19" s="25"/>
      <c r="K19" s="26"/>
    </row>
  </sheetData>
  <mergeCells count="2">
    <mergeCell ref="A2:K2"/>
    <mergeCell ref="A1:K1"/>
  </mergeCells>
  <conditionalFormatting sqref="G5:G19">
    <cfRule type="cellIs" dxfId="24" priority="12" stopIfTrue="1" operator="equal">
      <formula>"P0"</formula>
    </cfRule>
    <cfRule type="cellIs" dxfId="23" priority="13" stopIfTrue="1" operator="equal">
      <formula>"P1"</formula>
    </cfRule>
    <cfRule type="cellIs" dxfId="22" priority="14" stopIfTrue="1" operator="equal">
      <formula>"P2"</formula>
    </cfRule>
  </conditionalFormatting>
  <conditionalFormatting sqref="H5:H19">
    <cfRule type="cellIs" dxfId="21" priority="1" stopIfTrue="1" operator="equal">
      <formula>"Completed"</formula>
    </cfRule>
    <cfRule type="cellIs" dxfId="20" priority="2" stopIfTrue="1" operator="equal">
      <formula>"PASS"</formula>
    </cfRule>
    <cfRule type="cellIs" dxfId="19" priority="3" stopIfTrue="1" operator="equal">
      <formula>"In Progress"</formula>
    </cfRule>
    <cfRule type="cellIs" dxfId="18" priority="4" stopIfTrue="1" operator="equal">
      <formula>"In Review"</formula>
    </cfRule>
    <cfRule type="cellIs" dxfId="17" priority="5" stopIfTrue="1" operator="equal">
      <formula>"Pending"</formula>
    </cfRule>
    <cfRule type="cellIs" dxfId="16" priority="6" stopIfTrue="1" operator="equal">
      <formula>"PENDING"</formula>
    </cfRule>
    <cfRule type="cellIs" dxfId="15" priority="7" stopIfTrue="1" operator="equal">
      <formula>"Blocked"</formula>
    </cfRule>
    <cfRule type="cellIs" dxfId="14" priority="8" stopIfTrue="1" operator="equal">
      <formula>"BLOCKED"</formula>
    </cfRule>
    <cfRule type="cellIs" dxfId="13" priority="9" stopIfTrue="1" operator="equal">
      <formula>"FAIL"</formula>
    </cfRule>
    <cfRule type="cellIs" dxfId="12" priority="10" stopIfTrue="1" operator="equal">
      <formula>"Need to Discuss"</formula>
    </cfRule>
    <cfRule type="cellIs" dxfId="11" priority="11" stopIfTrue="1" operator="equal">
      <formula>"Not Started"</formula>
    </cfRule>
  </conditionalFormatting>
  <dataValidations count="1">
    <dataValidation type="list" promptTitle="Select Status" prompt="Click to mark Completed (or PASS, FAIL, Blocked, In Progress, Pending)" sqref="H5:H19" xr:uid="{00000000-0002-0000-0300-000000000000}">
      <formula1>"Completed,In Progress,In Review,Pending,Blocked,Need to Discuss,Not Started,PASS,FAIL"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75569"/>
  </sheetPr>
  <dimension ref="B1:C31"/>
  <sheetViews>
    <sheetView showGridLines="0" workbookViewId="0"/>
  </sheetViews>
  <sheetFormatPr defaultRowHeight="15" x14ac:dyDescent="0.25"/>
  <cols>
    <col min="1" max="1" width="4" customWidth="1"/>
    <col min="2" max="2" width="28" customWidth="1"/>
    <col min="3" max="3" width="88" customWidth="1"/>
    <col min="4" max="4" width="4" customWidth="1"/>
  </cols>
  <sheetData>
    <row r="1" spans="2:3" ht="27.95" customHeight="1" x14ac:dyDescent="0.25">
      <c r="B1" s="56" t="s">
        <v>281</v>
      </c>
      <c r="C1" s="57"/>
    </row>
    <row r="2" spans="2:3" ht="14.1" customHeight="1" x14ac:dyDescent="0.25"/>
    <row r="3" spans="2:3" ht="24" customHeight="1" x14ac:dyDescent="0.25">
      <c r="B3" s="62" t="s">
        <v>282</v>
      </c>
      <c r="C3" s="63"/>
    </row>
    <row r="4" spans="2:3" ht="24" customHeight="1" x14ac:dyDescent="0.25">
      <c r="B4" s="60" t="s">
        <v>283</v>
      </c>
      <c r="C4" s="61"/>
    </row>
    <row r="5" spans="2:3" ht="24" customHeight="1" x14ac:dyDescent="0.25">
      <c r="B5" s="62" t="s">
        <v>284</v>
      </c>
      <c r="C5" s="63"/>
    </row>
    <row r="6" spans="2:3" ht="24" customHeight="1" x14ac:dyDescent="0.25">
      <c r="B6" s="60" t="s">
        <v>285</v>
      </c>
      <c r="C6" s="61"/>
    </row>
    <row r="7" spans="2:3" ht="24" customHeight="1" x14ac:dyDescent="0.25">
      <c r="B7" s="62" t="s">
        <v>286</v>
      </c>
      <c r="C7" s="63"/>
    </row>
    <row r="8" spans="2:3" ht="24" customHeight="1" x14ac:dyDescent="0.25">
      <c r="B8" s="64" t="s">
        <v>287</v>
      </c>
      <c r="C8" s="65"/>
    </row>
    <row r="9" spans="2:3" ht="14.1" customHeight="1" x14ac:dyDescent="0.25"/>
    <row r="10" spans="2:3" ht="26.1" customHeight="1" x14ac:dyDescent="0.25">
      <c r="B10" s="2" t="s">
        <v>288</v>
      </c>
      <c r="C10" s="2" t="s">
        <v>289</v>
      </c>
    </row>
    <row r="11" spans="2:3" ht="24" customHeight="1" x14ac:dyDescent="0.25">
      <c r="B11" s="31" t="s">
        <v>3</v>
      </c>
      <c r="C11" s="23" t="s">
        <v>290</v>
      </c>
    </row>
    <row r="12" spans="2:3" ht="24" customHeight="1" x14ac:dyDescent="0.25">
      <c r="B12" s="31" t="s">
        <v>19</v>
      </c>
      <c r="C12" s="28" t="s">
        <v>291</v>
      </c>
    </row>
    <row r="13" spans="2:3" ht="24" customHeight="1" x14ac:dyDescent="0.25">
      <c r="B13" s="31" t="s">
        <v>21</v>
      </c>
      <c r="C13" s="23" t="s">
        <v>292</v>
      </c>
    </row>
    <row r="14" spans="2:3" ht="24" customHeight="1" x14ac:dyDescent="0.25">
      <c r="B14" s="31" t="s">
        <v>7</v>
      </c>
      <c r="C14" s="28" t="s">
        <v>293</v>
      </c>
    </row>
    <row r="15" spans="2:3" ht="24" customHeight="1" x14ac:dyDescent="0.25">
      <c r="B15" s="31" t="s">
        <v>5</v>
      </c>
      <c r="C15" s="23" t="s">
        <v>294</v>
      </c>
    </row>
    <row r="16" spans="2:3" ht="24" customHeight="1" x14ac:dyDescent="0.25">
      <c r="B16" s="31" t="s">
        <v>24</v>
      </c>
      <c r="C16" s="28" t="s">
        <v>295</v>
      </c>
    </row>
    <row r="17" spans="2:3" ht="24" customHeight="1" x14ac:dyDescent="0.25">
      <c r="B17" s="31" t="s">
        <v>25</v>
      </c>
      <c r="C17" s="23" t="s">
        <v>296</v>
      </c>
    </row>
    <row r="18" spans="2:3" ht="15.95" customHeight="1" x14ac:dyDescent="0.25"/>
    <row r="19" spans="2:3" ht="26.1" customHeight="1" x14ac:dyDescent="0.25">
      <c r="B19" s="2" t="s">
        <v>297</v>
      </c>
      <c r="C19" s="2" t="s">
        <v>298</v>
      </c>
    </row>
    <row r="20" spans="2:3" ht="27.95" customHeight="1" x14ac:dyDescent="0.25">
      <c r="B20" s="7" t="s">
        <v>299</v>
      </c>
      <c r="C20" s="23" t="s">
        <v>300</v>
      </c>
    </row>
    <row r="21" spans="2:3" ht="27.95" customHeight="1" x14ac:dyDescent="0.25">
      <c r="B21" s="13" t="s">
        <v>301</v>
      </c>
      <c r="C21" s="28" t="s">
        <v>302</v>
      </c>
    </row>
    <row r="22" spans="2:3" ht="27.95" customHeight="1" x14ac:dyDescent="0.25">
      <c r="B22" s="7" t="s">
        <v>303</v>
      </c>
      <c r="C22" s="23" t="s">
        <v>304</v>
      </c>
    </row>
    <row r="23" spans="2:3" ht="27.95" customHeight="1" x14ac:dyDescent="0.25">
      <c r="B23" s="13" t="s">
        <v>305</v>
      </c>
      <c r="C23" s="28" t="s">
        <v>306</v>
      </c>
    </row>
    <row r="24" spans="2:3" ht="27.95" customHeight="1" x14ac:dyDescent="0.25">
      <c r="B24" s="7" t="s">
        <v>307</v>
      </c>
      <c r="C24" s="23" t="s">
        <v>308</v>
      </c>
    </row>
    <row r="25" spans="2:3" ht="27.95" customHeight="1" x14ac:dyDescent="0.25">
      <c r="B25" s="13" t="s">
        <v>309</v>
      </c>
      <c r="C25" s="28" t="s">
        <v>310</v>
      </c>
    </row>
    <row r="26" spans="2:3" ht="27.95" customHeight="1" x14ac:dyDescent="0.25">
      <c r="B26" s="7" t="s">
        <v>311</v>
      </c>
      <c r="C26" s="23" t="s">
        <v>312</v>
      </c>
    </row>
    <row r="27" spans="2:3" ht="27.95" customHeight="1" x14ac:dyDescent="0.25">
      <c r="B27" s="13" t="s">
        <v>313</v>
      </c>
      <c r="C27" s="28" t="s">
        <v>314</v>
      </c>
    </row>
    <row r="28" spans="2:3" ht="27.95" customHeight="1" x14ac:dyDescent="0.25">
      <c r="B28" s="7" t="s">
        <v>315</v>
      </c>
      <c r="C28" s="23" t="s">
        <v>316</v>
      </c>
    </row>
    <row r="29" spans="2:3" ht="27.95" customHeight="1" x14ac:dyDescent="0.25">
      <c r="B29" s="13" t="s">
        <v>317</v>
      </c>
      <c r="C29" s="28" t="s">
        <v>318</v>
      </c>
    </row>
    <row r="30" spans="2:3" ht="27.95" customHeight="1" x14ac:dyDescent="0.25">
      <c r="B30" s="7" t="s">
        <v>319</v>
      </c>
      <c r="C30" s="23" t="s">
        <v>320</v>
      </c>
    </row>
    <row r="31" spans="2:3" ht="27.95" customHeight="1" x14ac:dyDescent="0.25">
      <c r="B31" s="13" t="s">
        <v>321</v>
      </c>
      <c r="C31" s="28" t="s">
        <v>322</v>
      </c>
    </row>
  </sheetData>
  <mergeCells count="7">
    <mergeCell ref="B8:C8"/>
    <mergeCell ref="B4:C4"/>
    <mergeCell ref="B6:C6"/>
    <mergeCell ref="B7:C7"/>
    <mergeCell ref="B3:C3"/>
    <mergeCell ref="B5:C5"/>
    <mergeCell ref="B1:C1"/>
  </mergeCells>
  <conditionalFormatting sqref="B11:B17">
    <cfRule type="cellIs" dxfId="10" priority="1" stopIfTrue="1" operator="equal">
      <formula>"Completed"</formula>
    </cfRule>
    <cfRule type="cellIs" dxfId="9" priority="2" stopIfTrue="1" operator="equal">
      <formula>"PASS"</formula>
    </cfRule>
    <cfRule type="cellIs" dxfId="8" priority="3" stopIfTrue="1" operator="equal">
      <formula>"In Progress"</formula>
    </cfRule>
    <cfRule type="cellIs" dxfId="7" priority="4" stopIfTrue="1" operator="equal">
      <formula>"In Review"</formula>
    </cfRule>
    <cfRule type="cellIs" dxfId="6" priority="5" stopIfTrue="1" operator="equal">
      <formula>"Pending"</formula>
    </cfRule>
    <cfRule type="cellIs" dxfId="5" priority="6" stopIfTrue="1" operator="equal">
      <formula>"PENDING"</formula>
    </cfRule>
    <cfRule type="cellIs" dxfId="4" priority="7" stopIfTrue="1" operator="equal">
      <formula>"Blocked"</formula>
    </cfRule>
    <cfRule type="cellIs" dxfId="3" priority="8" stopIfTrue="1" operator="equal">
      <formula>"BLOCKED"</formula>
    </cfRule>
    <cfRule type="cellIs" dxfId="2" priority="9" stopIfTrue="1" operator="equal">
      <formula>"FAIL"</formula>
    </cfRule>
    <cfRule type="cellIs" dxfId="1" priority="10" stopIfTrue="1" operator="equal">
      <formula>"Need to Discuss"</formula>
    </cfRule>
    <cfRule type="cellIs" dxfId="0" priority="11" stopIfTrue="1" operator="equal">
      <formula>"Not Started"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F172A"/>
  </sheetPr>
  <dimension ref="B1:D11"/>
  <sheetViews>
    <sheetView showGridLines="0" workbookViewId="0"/>
  </sheetViews>
  <sheetFormatPr defaultRowHeight="15" x14ac:dyDescent="0.25"/>
  <cols>
    <col min="1" max="1" width="4" customWidth="1"/>
    <col min="2" max="2" width="28" customWidth="1"/>
    <col min="3" max="3" width="48" customWidth="1"/>
    <col min="4" max="4" width="62" customWidth="1"/>
    <col min="5" max="5" width="4" customWidth="1"/>
  </cols>
  <sheetData>
    <row r="1" spans="2:4" ht="27.95" customHeight="1" x14ac:dyDescent="0.25">
      <c r="B1" s="56" t="s">
        <v>323</v>
      </c>
      <c r="C1" s="57"/>
      <c r="D1" s="57"/>
    </row>
    <row r="2" spans="2:4" ht="14.1" customHeight="1" x14ac:dyDescent="0.25"/>
    <row r="3" spans="2:4" ht="26.1" customHeight="1" x14ac:dyDescent="0.25">
      <c r="B3" s="2" t="s">
        <v>324</v>
      </c>
      <c r="C3" s="2" t="s">
        <v>325</v>
      </c>
      <c r="D3" s="2" t="s">
        <v>326</v>
      </c>
    </row>
    <row r="4" spans="2:4" ht="26.1" customHeight="1" x14ac:dyDescent="0.25">
      <c r="B4" s="7" t="s">
        <v>327</v>
      </c>
      <c r="C4" s="23" t="s">
        <v>328</v>
      </c>
      <c r="D4" s="23" t="s">
        <v>329</v>
      </c>
    </row>
    <row r="5" spans="2:4" ht="26.1" customHeight="1" x14ac:dyDescent="0.25">
      <c r="B5" s="13" t="s">
        <v>330</v>
      </c>
      <c r="C5" s="28" t="s">
        <v>331</v>
      </c>
      <c r="D5" s="28" t="s">
        <v>332</v>
      </c>
    </row>
    <row r="6" spans="2:4" ht="26.1" customHeight="1" x14ac:dyDescent="0.25">
      <c r="B6" s="7" t="s">
        <v>333</v>
      </c>
      <c r="C6" s="23" t="s">
        <v>334</v>
      </c>
      <c r="D6" s="23" t="s">
        <v>335</v>
      </c>
    </row>
    <row r="7" spans="2:4" ht="26.1" customHeight="1" x14ac:dyDescent="0.25">
      <c r="B7" s="13" t="s">
        <v>336</v>
      </c>
      <c r="C7" s="28" t="s">
        <v>337</v>
      </c>
      <c r="D7" s="28" t="s">
        <v>338</v>
      </c>
    </row>
    <row r="8" spans="2:4" ht="26.1" customHeight="1" x14ac:dyDescent="0.25">
      <c r="B8" s="7" t="s">
        <v>339</v>
      </c>
      <c r="C8" s="23" t="s">
        <v>340</v>
      </c>
      <c r="D8" s="23" t="s">
        <v>341</v>
      </c>
    </row>
    <row r="9" spans="2:4" ht="26.1" customHeight="1" x14ac:dyDescent="0.25">
      <c r="B9" s="13" t="s">
        <v>342</v>
      </c>
      <c r="C9" s="13">
        <f>Dashboard!B5</f>
        <v>44</v>
      </c>
      <c r="D9" s="28" t="s">
        <v>343</v>
      </c>
    </row>
    <row r="10" spans="2:4" ht="26.1" customHeight="1" x14ac:dyDescent="0.25">
      <c r="B10" s="7" t="s">
        <v>344</v>
      </c>
      <c r="C10" s="23" t="s">
        <v>345</v>
      </c>
      <c r="D10" s="23" t="s">
        <v>346</v>
      </c>
    </row>
    <row r="11" spans="2:4" ht="26.1" customHeight="1" x14ac:dyDescent="0.25">
      <c r="B11" s="13" t="s">
        <v>347</v>
      </c>
      <c r="C11" s="28" t="s">
        <v>348</v>
      </c>
      <c r="D11" s="28" t="s">
        <v>349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Payments Received API</vt:lpstr>
      <vt:lpstr>Expenses API</vt:lpstr>
      <vt:lpstr>Pending API Checks</vt:lpstr>
      <vt:lpstr>How to Update</vt:lpstr>
      <vt:lpstr>Project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KAMALESH S</cp:lastModifiedBy>
  <dcterms:created xsi:type="dcterms:W3CDTF">2026-10-24T10:16:53Z</dcterms:created>
  <dcterms:modified xsi:type="dcterms:W3CDTF">2026-10-24T13:20:44Z</dcterms:modified>
</cp:coreProperties>
</file>