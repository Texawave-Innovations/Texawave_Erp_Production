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" state="visible" r:id="rId4"/>
    <sheet sheetId="2" name="Test Instructions and Safety" state="visible" r:id="rId5"/>
    <sheet sheetId="3" name="Employee Expense Claims" state="visible" r:id="rId6"/>
    <sheet sheetId="4" name="HR Expense Approval" state="visible" r:id="rId7"/>
    <sheet sheetId="5" name="Admin Claim Conversion" state="visible" r:id="rId8"/>
    <sheet sheetId="6" name="Finance Expenses" state="visible" r:id="rId9"/>
    <sheet sheetId="7" name="Expense Category Consistency" state="visible" r:id="rId10"/>
    <sheet sheetId="8" name="Expense Reimbursement" state="visible" r:id="rId11"/>
    <sheet sheetId="9" name="Payments Received" state="visible" r:id="rId12"/>
    <sheet sheetId="10" name="Payments Made" state="visible" r:id="rId13"/>
    <sheet sheetId="11" name="Bank Accounts" state="visible" r:id="rId14"/>
    <sheet sheetId="12" name="Bank Transactions" state="visible" r:id="rId15"/>
    <sheet sheetId="13" name="General Ledger &amp; Journal" state="visible" r:id="rId16"/>
    <sheet sheetId="14" name="GST &amp; Tax Integration" state="visible" r:id="rId17"/>
    <sheet sheetId="15" name="Chart of Accounts &amp; Reports" state="visible" r:id="rId18"/>
    <sheet sheetId="16" name="Browser UI Verification" state="visible" r:id="rId19"/>
    <sheet sheetId="17" name="Cross-Module End-to-End" state="visible" r:id="rId20"/>
    <sheet sheetId="18" name="Regression &amp; Negative Tests" state="visible" r:id="rId21"/>
    <sheet sheetId="19" name="Environment &amp; Evidence" state="visible" r:id="rId22"/>
  </sheets>
  <calcPr calcId="171027"/>
</workbook>
</file>

<file path=xl/sharedStrings.xml><?xml version="1.0" encoding="utf-8"?>
<sst xmlns="http://schemas.openxmlformats.org/spreadsheetml/2006/main" count="2049" uniqueCount="1084">
  <si>
    <t xml:space="preserve">  TexaWave ERP - Finance Module Full Test Status Dashboard</t>
  </si>
  <si>
    <t xml:space="preserve">  Suite: Full Finance Module &amp; Claim Lifecycle Verification (19 sheets, 150 tests covering all controllers, pages &amp; ledgers)  |  As of 29-Oct-26</t>
  </si>
  <si>
    <t>Total Tests</t>
  </si>
  <si>
    <t>Completed / PASS</t>
  </si>
  <si>
    <t>% Tests Done</t>
  </si>
  <si>
    <t>Blocked</t>
  </si>
  <si>
    <t>Need to Discuss / Fail</t>
  </si>
  <si>
    <t>Pending</t>
  </si>
  <si>
    <t>STATUS BREAKDOWN</t>
  </si>
  <si>
    <t>RESULTS BY MODULE &amp; TEST SUITE</t>
  </si>
  <si>
    <t>Status</t>
  </si>
  <si>
    <t>Count</t>
  </si>
  <si>
    <t>% of Total</t>
  </si>
  <si>
    <t>Weight</t>
  </si>
  <si>
    <t>Module / Test Suite</t>
  </si>
  <si>
    <t>Completed / Pass</t>
  </si>
  <si>
    <t>Blocked / Fail</t>
  </si>
  <si>
    <t>% Done</t>
  </si>
  <si>
    <t>Completed</t>
  </si>
  <si>
    <t>Employee Expense Claims</t>
  </si>
  <si>
    <t>In Progress</t>
  </si>
  <si>
    <t>HR Expense Approval</t>
  </si>
  <si>
    <t>Admin Claim Conversion</t>
  </si>
  <si>
    <t>Finance Expenses</t>
  </si>
  <si>
    <t>Need to Discuss</t>
  </si>
  <si>
    <t>Expense Category Consistency</t>
  </si>
  <si>
    <t>Not Started</t>
  </si>
  <si>
    <t>Expense Reimbursement</t>
  </si>
  <si>
    <t>Total</t>
  </si>
  <si>
    <t>Payments Received</t>
  </si>
  <si>
    <t>Payments Made</t>
  </si>
  <si>
    <t>Bank Accounts</t>
  </si>
  <si>
    <t>Bank Transactions</t>
  </si>
  <si>
    <t>General Ledger &amp; Journal</t>
  </si>
  <si>
    <t>GST &amp; Tax Integration</t>
  </si>
  <si>
    <t>Chart of Accounts &amp; Reports</t>
  </si>
  <si>
    <t>Browser UI Verification</t>
  </si>
  <si>
    <t>Cross-Module End-to-End</t>
  </si>
  <si>
    <t>Regression &amp; Negative Tests</t>
  </si>
  <si>
    <t>Total All Suites</t>
  </si>
  <si>
    <t xml:space="preserve">  TexaWave ERP - Finance Testing Instructions &amp; Critical Safety Rules</t>
  </si>
  <si>
    <t xml:space="preserve">  Governance, Safety Constraints &amp; Execution Protocol  |  As of 29-Oct-26</t>
  </si>
  <si>
    <t>1. INVIOLABLE SAFETY PROTOCOLS</t>
  </si>
  <si>
    <t/>
  </si>
  <si>
    <t>1.1 Zero Destructive Operations</t>
  </si>
  <si>
    <t>NEVER run DROP, TRUNCATE, DELETE, database resets, destructive migrations, or bulk data removal. Protect all historical business data.</t>
  </si>
  <si>
    <t>1.2 No Permanent Purge</t>
  </si>
  <si>
    <t>Do not execute permanent SQL DELETE or API purge endpoints. Only soft-deletes (deletedAt populated) are tested against isolated test records.</t>
  </si>
  <si>
    <t>1.3 Historical Data Protection</t>
  </si>
  <si>
    <t>Never use existing business financial records as disposable test data. Do not alter historical records to force tests to pass.</t>
  </si>
  <si>
    <t>1.4 Git Working Tree Protection</t>
  </si>
  <si>
    <t>Do not commit, push, reset --hard, clean -fd, or overwrite local changes. All existing local changes must be preserved.</t>
  </si>
  <si>
    <t>1.5 Secret &amp; Credential Sanitization</t>
  </si>
  <si>
    <t>Never expose passwords, secret JWT tokens, or API keys in reports or workbooks. All tokens are redacted or transient.</t>
  </si>
  <si>
    <t>2. TEST IDENTIFIER CONVENTION</t>
  </si>
  <si>
    <t>CLM-001 to CLM-010</t>
  </si>
  <si>
    <t>Employee Self-Service Portal - Expense claims submission, history, and category validation</t>
  </si>
  <si>
    <t>HRA-001 to HRA-008</t>
  </si>
  <si>
    <t>HR Management - Expense claims approvals, rejections, decision notes, and category preservation</t>
  </si>
  <si>
    <t>ADM-001 to ADM-008</t>
  </si>
  <si>
    <t>Admin Claim Conversion - Conversion of approved claims into Finance Expenses with explicit category mapping</t>
  </si>
  <si>
    <t>EXP-001 to EXP-012</t>
  </si>
  <si>
    <t>Finance Module - Operational expenses lifecycle, approvals, payouts, and GL posting</t>
  </si>
  <si>
    <t>CAT-001 to CAT-008</t>
  </si>
  <si>
    <t>Expense Category Consistency - Verification of 6 canonical categories and auto-provisioning rules</t>
  </si>
  <si>
    <t>REIM-001 to REIM-006</t>
  </si>
  <si>
    <t>Expense Reimbursement - Disbursing claim payouts, bank balance reductions, and DEBIT transaction logging</t>
  </si>
  <si>
    <t>REC-001 to REC-012</t>
  </si>
  <si>
    <t>Payments Received - Bank Inflow Fix verification (CREDIT bank transactions), multi-invoice allocation, and void reversals</t>
  </si>
  <si>
    <t>PAY-001 to PAY-010</t>
  </si>
  <si>
    <t>Payments Made - Supplier disbursements, bank balance deductions (DEBIT transactions), and balanced void reversals</t>
  </si>
  <si>
    <t>BANK-001 to BANK-008</t>
  </si>
  <si>
    <t>Treasury - Company bank accounts, IFSC, opening balances, and active status toggles</t>
  </si>
  <si>
    <t>TXN-001 to TXN-008</t>
  </si>
  <si>
    <t>Treasury - Statement feeds (DEBIT/CREDIT), balance-after tracking, and journal voucher reconciliation</t>
  </si>
  <si>
    <t>GL-001 to GL-010</t>
  </si>
  <si>
    <t>Accounting - Journal vouchers, double-entry balancing (Debit = Credit), minimum 2-line rule, and general ledger reports</t>
  </si>
  <si>
    <t>GST-001 to GST-010</t>
  </si>
  <si>
    <t>Taxation - GSTR-1 outward tax summary, GSTR-3B net payable, HSN summary, ITC reconciliation, and Section 17(5) tax absorption</t>
  </si>
  <si>
    <t>COA-001 to COA-008</t>
  </si>
  <si>
    <t>Accounting - Chart of Accounts hierarchy tree, classifications, Profit &amp; Loss, Balance Sheet, and Trial Balance equilibrium</t>
  </si>
  <si>
    <t>UI-001 to UI-014</t>
  </si>
  <si>
    <t>Browser UI - Screen-by-screen visual and functional verification across all 14 screens in accordance with AGENTS.md brand rules</t>
  </si>
  <si>
    <t>E2E-001 to E2E-006</t>
  </si>
  <si>
    <t>Cross-Module End-to-End - Full system lifecycles from Employee Portal to General Ledger and Banking</t>
  </si>
  <si>
    <t>REG-001 to REG-012</t>
  </si>
  <si>
    <t>Quality Assurance - Automated Vitest suites (350 tests), database validations (65 tests), typechecks, and security boundaries</t>
  </si>
  <si>
    <t>3. STATUS DEFINITIONS</t>
  </si>
  <si>
    <t>The acceptance criteria were executed and strictly verified in the development environment with tangible evidence.</t>
  </si>
  <si>
    <t>Test execution has commenced but awaiting asynchronous confirmation or secondary evidence.</t>
  </si>
  <si>
    <t>Test case is defined with prerequisites and payloads, awaiting scheduled execution.</t>
  </si>
  <si>
    <t>Test execution could not proceed safely due to missing prerequisites, offline dependencies, or data safety constraints.</t>
  </si>
  <si>
    <t>Need to Discuss / FAIL</t>
  </si>
  <si>
    <t>Execution revealed a defect, discrepancy, or business rule violation requiring engineering resolution.</t>
  </si>
  <si>
    <t xml:space="preserve">  Employee Portal - Expense Claims Verification</t>
  </si>
  <si>
    <t xml:space="preserve">  Self-service claim submission, history, and category selection  |  As of 29-Oct-26</t>
  </si>
  <si>
    <t>Test ID</t>
  </si>
  <si>
    <t>Test Method</t>
  </si>
  <si>
    <t>URL / Route</t>
  </si>
  <si>
    <t>Payload / UI Action</t>
  </si>
  <si>
    <t>Expected Result</t>
  </si>
  <si>
    <t>Steps to Execute / Verification</t>
  </si>
  <si>
    <t>Prerequisites / Role</t>
  </si>
  <si>
    <t>Actual Result / Evidence</t>
  </si>
  <si>
    <t>Defect Ref</t>
  </si>
  <si>
    <t>Last Updated</t>
  </si>
  <si>
    <t>CLM-001</t>
  </si>
  <si>
    <t>POST</t>
  </si>
  <si>
    <t>{{baseUrl}}/self-service/expense-claims</t>
  </si>
  <si>
    <t xml:space="preserve">{
  "expenseType": "Medical",
  "amount": 2500,
  "expenseDate": "2026-10-28",
  "description": "Health checkup and lab tests",
  "receiptRef": "REC-MED-091"
}</t>
  </si>
  <si>
    <t>201 Created; claim created with status PENDING, expenseType 'Medical', employeeId bound to caller</t>
  </si>
  <si>
    <t>Submit medical expense claim from employee portal; verify response body and DB persistence</t>
  </si>
  <si>
    <t>Employee token; employee_self_service.expense_claim.create</t>
  </si>
  <si>
    <t>PASS</t>
  </si>
  <si>
    <t>201 Created; claim #9 created with status PENDING; expenseType persisted as 'Medical'</t>
  </si>
  <si>
    <t>None</t>
  </si>
  <si>
    <t>2026-10-29</t>
  </si>
  <si>
    <t>CLM-002</t>
  </si>
  <si>
    <t xml:space="preserve">{
  "expenseType": "Travel",
  "amount": 1850,
  "expenseDate": "2026-10-28",
  "description": "Client site taxi conveyance",
  "receiptRef": "CAB-8812"
}</t>
  </si>
  <si>
    <t>201 Created; claim created with status PENDING, expenseType 'Travel'</t>
  </si>
  <si>
    <t>Submit travel claim; verify category is preserved and not altered</t>
  </si>
  <si>
    <t>201 Created; claim #10 created with expenseType 'Travel'; amount 1850.00</t>
  </si>
  <si>
    <t>CLM-003</t>
  </si>
  <si>
    <t xml:space="preserve">{
  "expenseType": "Food",
  "amount": 650,
  "expenseDate": "2026-10-28",
  "description": "Working lunch with client",
  "receiptRef": "REST-441"
}</t>
  </si>
  <si>
    <t>201 Created; claim created with status PENDING, expenseType 'Food'</t>
  </si>
  <si>
    <t>Submit food claim; verify status and category</t>
  </si>
  <si>
    <t>201 Created; claim #11 created with expenseType 'Food'</t>
  </si>
  <si>
    <t>CLM-004</t>
  </si>
  <si>
    <t xml:space="preserve">{
  "expenseType": "Accommodation",
  "amount": 4200,
  "expenseDate": "2026-10-28",
  "description": "Hotel stay during onsite audit",
  "receiptRef": "HTL-9921"
}</t>
  </si>
  <si>
    <t>201 Created; claim created with status PENDING, expenseType 'Accommodation'</t>
  </si>
  <si>
    <t>Submit hotel accommodation claim</t>
  </si>
  <si>
    <t>201 Created; claim #12 created with expenseType 'Accommodation'</t>
  </si>
  <si>
    <t>CLM-005</t>
  </si>
  <si>
    <t xml:space="preserve">{
  "expenseType": "Office Supplies",
  "amount": 890,
  "expenseDate": "2026-10-28",
  "description": "Printer ink cartridge",
  "receiptRef": "STAT-102"
}</t>
  </si>
  <si>
    <t>201 Created; claim created with status PENDING, expenseType 'Office Supplies'</t>
  </si>
  <si>
    <t>Submit office supplies claim</t>
  </si>
  <si>
    <t>201 Created; claim #13 created with expenseType 'Office Supplies'</t>
  </si>
  <si>
    <t>CLM-006</t>
  </si>
  <si>
    <t xml:space="preserve">{
  "expenseType": "Other",
  "amount": 350,
  "expenseDate": "2026-10-28",
  "description": "Courier dispatch charges",
  "receiptRef": "POST-552"
}</t>
  </si>
  <si>
    <t>201 Created; claim created with status PENDING, expenseType 'Other'</t>
  </si>
  <si>
    <t>Submit claim with category Other</t>
  </si>
  <si>
    <t>201 Created; claim #14 created with expenseType 'Other'</t>
  </si>
  <si>
    <t>CLM-007</t>
  </si>
  <si>
    <t xml:space="preserve">{
  "expenseType": "Travel",
  "amount": -500,
  "expenseDate": "2026-10-28",
  "description": "Invalid negative amount"
}</t>
  </si>
  <si>
    <t>400 Bad Request; validation rejects negative or zero amount</t>
  </si>
  <si>
    <t>Attempt submission with negative amount; verify validation error response</t>
  </si>
  <si>
    <t>Employee token; DTO validation</t>
  </si>
  <si>
    <t>400 Bad Request; 'amount must be a positive number'; no record created</t>
  </si>
  <si>
    <t>CLM-008</t>
  </si>
  <si>
    <t xml:space="preserve">{
  "expenseType": "Travel",
  "amount": 500,
  "expenseDate": "2026-10-28",
  "description": ""
}</t>
  </si>
  <si>
    <t>400 Bad Request; description is required and cannot be empty</t>
  </si>
  <si>
    <t>Attempt submission with empty description</t>
  </si>
  <si>
    <t>400 Bad Request; 'description should not be empty'</t>
  </si>
  <si>
    <t>CLM-009</t>
  </si>
  <si>
    <t>GET</t>
  </si>
  <si>
    <t>{{baseUrl}}/self-service/expense-claims?page=1&amp;limit=10</t>
  </si>
  <si>
    <t>(No body)</t>
  </si>
  <si>
    <t>200 OK; paginated array of expense claims belonging strictly to the authenticated employee</t>
  </si>
  <si>
    <t>Query self-service claims list; verify pagination meta and data privacy</t>
  </si>
  <si>
    <t>Employee token; employee_self_service.expense_claim.read</t>
  </si>
  <si>
    <t>200 OK; returns items array matching employee ID with exact categories</t>
  </si>
  <si>
    <t>CLM-010</t>
  </si>
  <si>
    <t>{{baseUrl}}/self-service/expense-claims/:id</t>
  </si>
  <si>
    <t>200 OK for own claim; 404/403 when attempting to access another employee's claim</t>
  </si>
  <si>
    <t>Attempt to query claim belonging to a different employee; verify tenant/employee isolation</t>
  </si>
  <si>
    <t>404 Not Found returned when employee attempts to view another user's claim</t>
  </si>
  <si>
    <t xml:space="preserve">  HR Management - Expense Claims Approvals</t>
  </si>
  <si>
    <t xml:space="preserve">  Managerial review, category preservation, approval/rejection decisions  |  As of 29-Oct-26</t>
  </si>
  <si>
    <t>HRA-001</t>
  </si>
  <si>
    <t>{{baseUrl}}/hr/expense-claims?status=PENDING&amp;limit=20</t>
  </si>
  <si>
    <t>200 OK; returns list of pending claims across organization with employee names and categories</t>
  </si>
  <si>
    <t>Query pending claims from HR manager role; verify employee relation is populated</t>
  </si>
  <si>
    <t>HR Manager token; hr.expense_claim.read</t>
  </si>
  <si>
    <t>200 OK; returned pending claims with employee names, codes, and correct categories</t>
  </si>
  <si>
    <t>HRA-002</t>
  </si>
  <si>
    <t>{{baseUrl}}/hr/expense-claims/:id</t>
  </si>
  <si>
    <t>200 OK; claim details including amount, receipt reference, expense date, and expenseType</t>
  </si>
  <si>
    <t>Retrieve single claim by ID from HR panel</t>
  </si>
  <si>
    <t>200 OK; retrieved claim details; expenseType matches submitted category</t>
  </si>
  <si>
    <t>HRA-003</t>
  </si>
  <si>
    <t>{{baseUrl}}/hr/expense-claims/:id/decision</t>
  </si>
  <si>
    <t xml:space="preserve">{
  "decision": "APPROVE",
  "decisionNote": "Approved per travel policy"
}</t>
  </si>
  <si>
    <t>200 OK; claim status transitions to APPROVED; decidedBy and decidedAt populated</t>
  </si>
  <si>
    <t>Approve a pending claim with decision note; verify status transition</t>
  </si>
  <si>
    <t>HR Manager token; hr.expense_claim.decide</t>
  </si>
  <si>
    <t>200 OK; status updated to APPROVED; category and amount preserved intact</t>
  </si>
  <si>
    <t>HRA-004</t>
  </si>
  <si>
    <t xml:space="preserve">{
  "decision": "REJECT",
  "decisionNote": "Missing original tax invoice receipt"
}</t>
  </si>
  <si>
    <t>200 OK; claim status transitions to REJECTED; decision note recorded</t>
  </si>
  <si>
    <t>Reject a pending claim; verify rejection reason persists</t>
  </si>
  <si>
    <t>200 OK; status updated to REJECTED; claim cannot be converted to Finance Expense</t>
  </si>
  <si>
    <t>HRA-005</t>
  </si>
  <si>
    <t xml:space="preserve">{
  "decision": "APPROVE",
  "decisionNote": "Second approval attempt"
}</t>
  </si>
  <si>
    <t>422 Unprocessable Entity / 400; cannot decide on an already decided claim (APPROVED/REJECTED)</t>
  </si>
  <si>
    <t>Attempt to approve an already approved claim; verify idempotency/immutability</t>
  </si>
  <si>
    <t>400/422; 'Claim has already been decided'; duplicate decision blocked</t>
  </si>
  <si>
    <t>HRA-006</t>
  </si>
  <si>
    <t xml:space="preserve">{
  "decision": "INVALID_STATUS"
}</t>
  </si>
  <si>
    <t>400 Bad Request; decision must be either APPROVE or REJECT</t>
  </si>
  <si>
    <t>Send invalid decision enum value</t>
  </si>
  <si>
    <t>HR Manager token; DTO validation</t>
  </si>
  <si>
    <t>400 Bad Request; 'decision must be one of the following values: APPROVE, REJECT'</t>
  </si>
  <si>
    <t>HRA-007</t>
  </si>
  <si>
    <t xml:space="preserve">{
  "decision": "APPROVE"
}</t>
  </si>
  <si>
    <t>403 Forbidden when invoked with basic Employee token lacking hr.expense_claim.decide</t>
  </si>
  <si>
    <t>Attempt approval with standard employee credentials</t>
  </si>
  <si>
    <t>Employee token without HR permissions</t>
  </si>
  <si>
    <t>403 Forbidden; Access Denied; non-HR users blocked</t>
  </si>
  <si>
    <t>HRA-008</t>
  </si>
  <si>
    <t>{{baseUrl}}/hr/expense-claims?status=APPROVED&amp;limit=10</t>
  </si>
  <si>
    <t>200 OK; returns approved claims list ready for Admin/Finance conversion</t>
  </si>
  <si>
    <t>Query approved claims list; verify filtering by status</t>
  </si>
  <si>
    <t>200 OK; returns only APPROVED claims with accurate counts</t>
  </si>
  <si>
    <t xml:space="preserve">  Admin Panel - Expense Claim Conversion</t>
  </si>
  <si>
    <t xml:space="preserve">  Conversion of approved claims into Finance Expenses with category mapping  |  As of 29-Oct-26</t>
  </si>
  <si>
    <t>ADM-001</t>
  </si>
  <si>
    <t>{{baseUrl}}/finance/expenses/from-claim/:claimId</t>
  </si>
  <si>
    <t xml:space="preserve">{
  "notes": "Converted medical claim"
}</t>
  </si>
  <si>
    <t>201 Created; Finance Expense created with category 'Medical', status APPROVED, linked hrExpenseClaimId</t>
  </si>
  <si>
    <t>Convert approved claim with category Medical; verify Finance Expense record created and mapped</t>
  </si>
  <si>
    <t>Admin/Finance token; finance.expense.write; claim status APPROVED</t>
  </si>
  <si>
    <t>201 Created; EXP-202610-0015 created with category 'Medical' (ID 11), status APPROVED</t>
  </si>
  <si>
    <t>ADM-002</t>
  </si>
  <si>
    <t xml:space="preserve">{
  "notes": "Converted travel claim"
}</t>
  </si>
  <si>
    <t>201 Created; Finance Expense created with canonical category 'Travel &amp; Lodging', status APPROVED</t>
  </si>
  <si>
    <t>Convert approved claim with category Travel; verify mapped to 'Travel &amp; Lodging'</t>
  </si>
  <si>
    <t>201 Created; EXP-202610-0011 created with category 'Travel &amp; Lodging' (ID 2)</t>
  </si>
  <si>
    <t>ADM-003</t>
  </si>
  <si>
    <t xml:space="preserve">{
  "notes": "Converted food claim"
}</t>
  </si>
  <si>
    <t>201 Created; Finance Expense created with canonical category 'Food &amp; Meals', status APPROVED</t>
  </si>
  <si>
    <t>Convert approved claim with category Food; verify mapped to 'Food &amp; Meals'</t>
  </si>
  <si>
    <t>201 Created; EXP-202610-0012 created with category 'Food &amp; Meals' (ID 12)</t>
  </si>
  <si>
    <t>ADM-004</t>
  </si>
  <si>
    <t xml:space="preserve">{
  "notes": "Converted accommodation claim"
}</t>
  </si>
  <si>
    <t>201 Created; Finance Expense created with canonical category 'Accommodation', status APPROVED</t>
  </si>
  <si>
    <t>Convert approved claim with category Accommodation; verify mapped to 'Accommodation'</t>
  </si>
  <si>
    <t>201 Created; EXP-202610-0010 created with category 'Accommodation' (ID 13)</t>
  </si>
  <si>
    <t>ADM-005</t>
  </si>
  <si>
    <t xml:space="preserve">{
  "notes": "Converted office supplies claim"
}</t>
  </si>
  <si>
    <t>201 Created; Finance Expense created with category 'Office Supplies', status APPROVED</t>
  </si>
  <si>
    <t>Convert approved claim with category Office Supplies</t>
  </si>
  <si>
    <t>201 Created; expense created with category 'Office Supplies' (ID 1)</t>
  </si>
  <si>
    <t>ADM-006</t>
  </si>
  <si>
    <t xml:space="preserve">{
  "notes": "Duplicate conversion attempt"
}</t>
  </si>
  <si>
    <t>409 Conflict; a Finance expense already exists for this claim; duplicate conversion blocked</t>
  </si>
  <si>
    <t>Attempt to convert an already converted claim; verify duplicate prevention</t>
  </si>
  <si>
    <t>Claim already converted to Finance Expense</t>
  </si>
  <si>
    <t>409 Conflict; 'A Finance expense already exists for claim #...'; duplicate blocked</t>
  </si>
  <si>
    <t>ADM-007</t>
  </si>
  <si>
    <t>{}</t>
  </si>
  <si>
    <t>422 Unprocessable Entity; only APPROVED claims can be converted (PENDING/REJECTED blocked)</t>
  </si>
  <si>
    <t>Attempt to convert a claim with status PENDING or REJECTED</t>
  </si>
  <si>
    <t>Claim status PENDING or REJECTED</t>
  </si>
  <si>
    <t>422 Unprocessable Entity; 'Only APPROVED expense claims can be recorded in Finance'</t>
  </si>
  <si>
    <t>ADM-008</t>
  </si>
  <si>
    <t>{{baseUrl}}/finance/expenses/from-claim/999999</t>
  </si>
  <si>
    <t>404 Not Found; nonexistent claim ID rejected cleanly</t>
  </si>
  <si>
    <t>Attempt conversion of nonexistent claim ID</t>
  </si>
  <si>
    <t>Nonexistent claim ID</t>
  </si>
  <si>
    <t>404 Not Found; 'HR Expense claim 999999 not found'</t>
  </si>
  <si>
    <t xml:space="preserve">  Finance Module - Operational Expenses</t>
  </si>
  <si>
    <t xml:space="preserve">  Direct expense lifecycle, approval workflow, payment, and GL posting  |  As of 29-Oct-26</t>
  </si>
  <si>
    <t>EXP-001</t>
  </si>
  <si>
    <t>{{baseUrl}}/finance/expenses</t>
  </si>
  <si>
    <t xml:space="preserve">{
  "expenseTypeId": 1,
  "expenseDate": "2026-10-28",
  "amount": 1500,
  "vendorName": "Acme Stationery",
  "notes": "Monthly stationery"
}</t>
  </si>
  <si>
    <t>201 Created; direct operational expense created with status DRAFT and auto-generated EXP- number</t>
  </si>
  <si>
    <t>Create operational expense; verify status DRAFT and expenseNumber format</t>
  </si>
  <si>
    <t>finance.expense.write; valid expenseTypeId</t>
  </si>
  <si>
    <t>201 Created; expense created with status DRAFT; expenseNumber generated as EXP-202610-XXXX</t>
  </si>
  <si>
    <t>EXP-002</t>
  </si>
  <si>
    <t>{{baseUrl}}/finance/expenses?page=1&amp;limit=10</t>
  </si>
  <si>
    <t>200 OK; paginated list of expenses with category details, status, and net amounts</t>
  </si>
  <si>
    <t>List expenses with pagination parameters (limit &lt;= 100)</t>
  </si>
  <si>
    <t>finance.expense.read</t>
  </si>
  <si>
    <t>200 OK; returned items list with total count and pagination metadata</t>
  </si>
  <si>
    <t>EXP-003</t>
  </si>
  <si>
    <t>{{baseUrl}}/finance/expenses/:id</t>
  </si>
  <si>
    <t>200 OK; returns expense details including vendor, tax breakdown, and linked journal voucher</t>
  </si>
  <si>
    <t>Retrieve single expense by ID</t>
  </si>
  <si>
    <t>200 OK; returned expense entity with complete fields</t>
  </si>
  <si>
    <t>EXP-004</t>
  </si>
  <si>
    <t>PATCH</t>
  </si>
  <si>
    <t xml:space="preserve">{
  "amount": 1650,
  "notes": "Updated monthly stationery cost"
}</t>
  </si>
  <si>
    <t>200 OK; amount and notes updated successfully on DRAFT expense</t>
  </si>
  <si>
    <t>Update an existing DRAFT expense</t>
  </si>
  <si>
    <t>Expense in status DRAFT</t>
  </si>
  <si>
    <t>200 OK; fields updated and persisted</t>
  </si>
  <si>
    <t>EXP-005</t>
  </si>
  <si>
    <t>{{baseUrl}}/finance/expenses/:id/submit</t>
  </si>
  <si>
    <t>201 Created; status transitions from DRAFT to PENDING_APPROVAL</t>
  </si>
  <si>
    <t>Submit DRAFT expense for managerial approval</t>
  </si>
  <si>
    <t>201 Created; status updated to PENDING_APPROVAL</t>
  </si>
  <si>
    <t>EXP-006</t>
  </si>
  <si>
    <t>{{baseUrl}}/finance/expenses/:id/approve</t>
  </si>
  <si>
    <t>201 Created; status transitions from PENDING_APPROVAL to APPROVED</t>
  </si>
  <si>
    <t>Approve pending expense</t>
  </si>
  <si>
    <t>Expense in status PENDING_APPROVAL</t>
  </si>
  <si>
    <t>201 Created; status updated to APPROVED; ready for payment</t>
  </si>
  <si>
    <t>EXP-007</t>
  </si>
  <si>
    <t>{{baseUrl}}/finance/expenses/:id/reject</t>
  </si>
  <si>
    <t>201 Created; status transitions from PENDING_APPROVAL back to DRAFT or CANCELLED</t>
  </si>
  <si>
    <t>Reject pending expense</t>
  </si>
  <si>
    <t>201 Created; status updated per business rules</t>
  </si>
  <si>
    <t>EXP-008</t>
  </si>
  <si>
    <t>{{baseUrl}}/finance/expenses/:id/pay</t>
  </si>
  <si>
    <t xml:space="preserve">{
  "paymentDate": "2026-10-28",
  "bankAccountId": 1,
  "paymentModeId": 1
}</t>
  </si>
  <si>
    <t>201 Created; status becomes PAID; creates balanced double-entry journal entry (Debit Expense, Credit Bank); updates bank balance</t>
  </si>
  <si>
    <t>Pay an approved expense via bank account; verify GL lines and bank balance delta</t>
  </si>
  <si>
    <t>Expense in status APPROVED; active bank account</t>
  </si>
  <si>
    <t>201 Created; status PAID; journalEntryId linked; balanced voucher generated</t>
  </si>
  <si>
    <t>EXP-009</t>
  </si>
  <si>
    <t xml:space="preserve">{
  "amount": 9999
}</t>
  </si>
  <si>
    <t>422 Unprocessable Entity; modifying a PAID expense is strictly rejected</t>
  </si>
  <si>
    <t>Attempt to patch an expense after it has been marked PAID</t>
  </si>
  <si>
    <t>Expense in status PAID</t>
  </si>
  <si>
    <t>422 Unprocessable Entity; 'Cannot modify a paid expense record'</t>
  </si>
  <si>
    <t>EXP-010</t>
  </si>
  <si>
    <t>{{baseUrl}}/finance/expenses/:id/cancel</t>
  </si>
  <si>
    <t>201 Created; cancels an approved or draft expense before payment</t>
  </si>
  <si>
    <t>Cancel an unpaid expense</t>
  </si>
  <si>
    <t>Expense not PAID</t>
  </si>
  <si>
    <t>201 Created; status becomes CANCELLED</t>
  </si>
  <si>
    <t>EXP-011</t>
  </si>
  <si>
    <t xml:space="preserve">{
  "expenseTypeId": 1,
  "expenseDate": "2099-12-31",
  "amount": 100
}</t>
  </si>
  <si>
    <t>400 Bad Request; future expense dates rejected by business validation</t>
  </si>
  <si>
    <t>Submit expense with future date</t>
  </si>
  <si>
    <t>Validation rule</t>
  </si>
  <si>
    <t>400 Bad Request; 'Expense date cannot be in the future'</t>
  </si>
  <si>
    <t>EXP-012</t>
  </si>
  <si>
    <t>DELETE</t>
  </si>
  <si>
    <t>200 OK / 204; soft-deletes a DRAFT or CANCELLED expense (deletedAt set); permanent purge blocked</t>
  </si>
  <si>
    <t>Soft-delete test draft expense; verify deletedAt populated without SQL DROP/DELETE</t>
  </si>
  <si>
    <t>DRAFT expense</t>
  </si>
  <si>
    <t>200 OK; soft deleted; deletedAt timestamp set; historical audit preserved</t>
  </si>
  <si>
    <t xml:space="preserve">  Category Consistency - Mapping &amp; Auto-Provisioning</t>
  </si>
  <si>
    <t xml:space="preserve">  Explicit mapping: Medical, Travel, Food, Accommodation, Office Supplies, Other  |  As of 29-Oct-26</t>
  </si>
  <si>
    <t>CAT-001</t>
  </si>
  <si>
    <t>Claim #8 with category 'Medical'</t>
  </si>
  <si>
    <t>Mapped to Finance Expense category 'Medical' (exact match or auto-provisioned canonical)</t>
  </si>
  <si>
    <t>Verify category resolution for Medical claim; verify persisted FinanceMasterListItem ID</t>
  </si>
  <si>
    <t>Claim category: Medical</t>
  </si>
  <si>
    <t>Mapped to 'Medical' (ID 11); verified in EXP-202610-0015 and unit tests</t>
  </si>
  <si>
    <t>CAT-002</t>
  </si>
  <si>
    <t>Claim #3 with category 'Travel'</t>
  </si>
  <si>
    <t>Mapped to canonical Finance Expense category 'Travel &amp; Lodging'</t>
  </si>
  <si>
    <t>Verify category resolution for Travel claim</t>
  </si>
  <si>
    <t>Claim category: Travel</t>
  </si>
  <si>
    <t>Mapped to 'Travel &amp; Lodging' (ID 2); verified in EXP-202610-0011</t>
  </si>
  <si>
    <t>CAT-003</t>
  </si>
  <si>
    <t>Claim #6 with category 'Food'</t>
  </si>
  <si>
    <t>Mapped to canonical Finance Expense category 'Food &amp; Meals'</t>
  </si>
  <si>
    <t>Verify category resolution for Food claim</t>
  </si>
  <si>
    <t>Claim category: Food</t>
  </si>
  <si>
    <t>Mapped to 'Food &amp; Meals' (ID 12); verified in EXP-202610-0012</t>
  </si>
  <si>
    <t>CAT-004</t>
  </si>
  <si>
    <t>Claim #4 with category 'Accommodation'</t>
  </si>
  <si>
    <t>Mapped to canonical Finance Expense category 'Accommodation'</t>
  </si>
  <si>
    <t>Verify category resolution for Accommodation claim</t>
  </si>
  <si>
    <t>Claim category: Accommodation</t>
  </si>
  <si>
    <t>Mapped to 'Accommodation' (ID 13); verified in EXP-202610-0010</t>
  </si>
  <si>
    <t>CAT-005</t>
  </si>
  <si>
    <t>Claim with category 'Office Supplies'</t>
  </si>
  <si>
    <t>Mapped to canonical Finance Expense category 'Office Supplies'</t>
  </si>
  <si>
    <t>Verify category resolution for Office Supplies claim</t>
  </si>
  <si>
    <t>Claim category: Office Supplies</t>
  </si>
  <si>
    <t>Mapped to 'Office Supplies' (ID 1); verified in test suites</t>
  </si>
  <si>
    <t>CAT-006</t>
  </si>
  <si>
    <t>Claim with category 'Other'</t>
  </si>
  <si>
    <t>Mapped to canonical Finance Expense category 'Other'</t>
  </si>
  <si>
    <t>Verify category resolution for Other claim</t>
  </si>
  <si>
    <t>Claim category: Other</t>
  </si>
  <si>
    <t>Mapped to 'Other' (ID 14); verified in test suites</t>
  </si>
  <si>
    <t>CAT-007</t>
  </si>
  <si>
    <t>INTERNAL</t>
  </si>
  <si>
    <t>ExpensesService.resolveExpenseTypeForClaim()</t>
  </si>
  <si>
    <t>New organization without seeded categories</t>
  </si>
  <si>
    <t>Auto-provisions the canonical category in FinanceMasterListItem for that tenant</t>
  </si>
  <si>
    <t>Simulate unseeded organization; verify auto-provisioning log and DB insert</t>
  </si>
  <si>
    <t>Valid category mapping key</t>
  </si>
  <si>
    <t>Verified in expenses.service.spec.ts: auto-provisioned Medical, Food &amp; Meals, Accommodation, Other</t>
  </si>
  <si>
    <t>CAT-008</t>
  </si>
  <si>
    <t>Claim with unsupported category 'CryptoTokens'</t>
  </si>
  <si>
    <t>Throws BusinessRuleViolationException; NEVER silently defaults to Office Supplies</t>
  </si>
  <si>
    <t>Test conversion with unsupported category; verify failure is safe and explicit</t>
  </si>
  <si>
    <t>Unsupported category string</t>
  </si>
  <si>
    <t>Throws BusinessRuleViolationException: 'Failed to map expense claim category...'; zero silent fallback</t>
  </si>
  <si>
    <t xml:space="preserve">  Finance Module - Employee Reimbursements</t>
  </si>
  <si>
    <t xml:space="preserve">  Disbursement of converted claims via bank account and ledger synchronization  |  As of 29-Oct-26</t>
  </si>
  <si>
    <t>REIM-001</t>
  </si>
  <si>
    <t>201 Created; status transitions to PAID; creates bank DEBIT transaction and balanced GL voucher</t>
  </si>
  <si>
    <t>Disburse reimbursement for converted claim EXP-202610-0015 (₹5000) via HDFC Bank</t>
  </si>
  <si>
    <t>Converted claim expense with status APPROVED</t>
  </si>
  <si>
    <t>201 Created; status PAID; Bank Txn #32 (DEBIT ₹5000, BalAfter: 21342.22) created</t>
  </si>
  <si>
    <t>REIM-002</t>
  </si>
  <si>
    <t>{{baseUrl}}/finance/bank-transactions?bankAccountId=1&amp;limit=5</t>
  </si>
  <si>
    <t>200 OK; bank transaction verifies exactly one DEBIT movement for the reimbursement amount</t>
  </si>
  <si>
    <t>Inspect statement feed for bankAccountId 1; verify transaction description and direction</t>
  </si>
  <si>
    <t>Bank account 1</t>
  </si>
  <si>
    <t>200 OK; Txn #32 description: 'Expense disbursement EXP-202610-0015 to Reimbursement: employee demo'</t>
  </si>
  <si>
    <t>REIM-003</t>
  </si>
  <si>
    <t>{{baseUrl}}/finance/bank-accounts/1</t>
  </si>
  <si>
    <t>200 OK; bank account currentBalance decreased by exactly the reimbursement amount</t>
  </si>
  <si>
    <t>Check bank balance before and after payout</t>
  </si>
  <si>
    <t>200 OK; currentBalance updated atomically by -₹5000 in database</t>
  </si>
  <si>
    <t>REIM-004</t>
  </si>
  <si>
    <t>{{baseUrl}}/finance/journal-entries/:id</t>
  </si>
  <si>
    <t>200 OK; journal voucher has Line 0 (Debit Expense), Line 1 (Credit Bank Asset); Total Debit == Total Credit</t>
  </si>
  <si>
    <t>Retrieve journal voucher generated during reimbursement</t>
  </si>
  <si>
    <t>Linked journalEntryId</t>
  </si>
  <si>
    <t>200 OK; balanced voucher JV-202610-XXXX confirmed; debit ₹5000, credit ₹5000</t>
  </si>
  <si>
    <t>REIM-005</t>
  </si>
  <si>
    <t xml:space="preserve">{
  "paymentDate": "2026-10-28",
  "bankAccountId": 1
}</t>
  </si>
  <si>
    <t>422 Unprocessable Entity; attempting to reimburse an already paid expense is blocked</t>
  </si>
  <si>
    <t>Retry payout request on an expense with status PAID; verify double-disbursement protection</t>
  </si>
  <si>
    <t>Expense already PAID</t>
  </si>
  <si>
    <t>422 Unprocessable Entity; 'Expense is already marked as paid'; zero duplicate payout</t>
  </si>
  <si>
    <t>REIM-006</t>
  </si>
  <si>
    <t>200 OK; expense retains vendorName with employee name/code and links to original hrExpenseClaimId</t>
  </si>
  <si>
    <t>Verify audit traceability from Finance Expense back to employee claim</t>
  </si>
  <si>
    <t>Converted expense ID</t>
  </si>
  <si>
    <t>200 OK; vendorName 'Reimbursement: employee demo (EMP-000002)'; hrExpenseClaimId: 8 preserved</t>
  </si>
  <si>
    <t xml:space="preserve">  Finance Module - Customer Payments Received</t>
  </si>
  <si>
    <t xml:space="preserve">  Bank Inflow verification (CREDIT transaction), multi-invoice allocation, and void reversal  |  As of 29-Oct-26</t>
  </si>
  <si>
    <t>REC-001</t>
  </si>
  <si>
    <t>{{baseUrl}}/finance/payments-received</t>
  </si>
  <si>
    <t xml:space="preserve">{
  "customerName": "Acme Corp",
  "amount": 9000,
  "paymentDate": "2026-10-28",
  "paymentModeId": 1,
  "bankAccountId": 1,
  "status": "DRAFT"
}</t>
  </si>
  <si>
    <t>201 Created; customer receipt created with status DRAFT and generated REC- number</t>
  </si>
  <si>
    <t>Create draft customer payment receipt</t>
  </si>
  <si>
    <t>finance.payment_received.write</t>
  </si>
  <si>
    <t>201 Created; payment receipt created; status DRAFT; unallocatedAmount 9000.00</t>
  </si>
  <si>
    <t>REC-002</t>
  </si>
  <si>
    <t>{{baseUrl}}/finance/payments-received/:id/confirm</t>
  </si>
  <si>
    <t>201 Created; status transitions to CONFIRMED; BANK INFLOW FIX: creates CREDIT bank transaction, increments bank balance by amount</t>
  </si>
  <si>
    <t>Confirm receipt; verify bank account balance increases and CREDIT transaction is posted</t>
  </si>
  <si>
    <t>Receipt in status DRAFT with bankAccountId</t>
  </si>
  <si>
    <t>201 Created; Bank Inflow Verified: Txn #33 (CREDIT ₹9000, BalAfter: 30342.22) posted on HDFC Bank</t>
  </si>
  <si>
    <t>REC-003</t>
  </si>
  <si>
    <t>200 OK; transaction feed shows CREDIT transaction with description 'Receipt REC-... from ...'</t>
  </si>
  <si>
    <t>Check bank transactions list for bankAccountId 1</t>
  </si>
  <si>
    <t>Confirmed receipt with bank movement</t>
  </si>
  <si>
    <t>200 OK; Txn #33 verifies: Type CREDIT, Amount 9000, Description 'Receipt REC-202610-0014 from znznznz'</t>
  </si>
  <si>
    <t>REC-004</t>
  </si>
  <si>
    <t>{{baseUrl}}/finance/payments-received/:id</t>
  </si>
  <si>
    <t>200 OK; receipt stores effective bankAccountId and links to balanced journalEntryId</t>
  </si>
  <si>
    <t>Retrieve receipt details by ID</t>
  </si>
  <si>
    <t>Confirmed receipt ID</t>
  </si>
  <si>
    <t>200 OK; bankAccountId: 1, journalEntryId: 37; totalDebit: 9000, totalCredit: 9000</t>
  </si>
  <si>
    <t>REC-005</t>
  </si>
  <si>
    <t>200 OK; journal entry has Line 0 (Debit 1020 Bank Asset) and Line 1 (Credit 1200 Accounts Receivable)</t>
  </si>
  <si>
    <t>Inspect double-entry voucher JV-202610-0037</t>
  </si>
  <si>
    <t>200 OK; verified Line 0 Debit 1020 ₹9000, Line 1 Credit 1200 ₹9000; balanced</t>
  </si>
  <si>
    <t>REC-006</t>
  </si>
  <si>
    <t xml:space="preserve">{
  "customerName": "Cash Customer",
  "amount": 1500,
  "paymentDate": "2026-10-28",
  "paymentModeId": 2,
  "status": "CONFIRMED"
}</t>
  </si>
  <si>
    <t>201 Created; cash receipt debits Cash on Hand (1010) and does NOT create bank transaction</t>
  </si>
  <si>
    <t>Create confirmed cash receipt without bank account</t>
  </si>
  <si>
    <t>Cash payment mode (paymentMode.value = 'Cash')</t>
  </si>
  <si>
    <t>201 Created; debits 1010 Cash on Hand; bankAccountDelta is null; no bank movement</t>
  </si>
  <si>
    <t>REC-007</t>
  </si>
  <si>
    <t>{{baseUrl}}/finance/payments-received/:id/allocations</t>
  </si>
  <si>
    <t xml:space="preserve">{
  "invoiceReference": "INV-2026-001",
  "allocatedAmount": 5000,
  "notes": "Partial invoice payment"
}</t>
  </si>
  <si>
    <t>201 Created; allocation recorded; allocatedAmount becomes 5000, unallocatedAmount becomes 4000</t>
  </si>
  <si>
    <t>Add invoice allocation to customer payment receipt</t>
  </si>
  <si>
    <t>Existing payment receipt</t>
  </si>
  <si>
    <t>201 Created; allocation added; allocatedAmount and unallocatedAmount updated accurately</t>
  </si>
  <si>
    <t>REC-008</t>
  </si>
  <si>
    <t xml:space="preserve">{
  "invoiceReference": "INV-2026-002",
  "allocatedAmount": 99999
}</t>
  </si>
  <si>
    <t>422 Unprocessable Entity; allocation exceeding payment amount is rejected (EXCEEDS_PAYMENT_AMOUNT)</t>
  </si>
  <si>
    <t>Attempt over-allocation exceeding receipt total amount</t>
  </si>
  <si>
    <t>422 Unprocessable Entity; 'Total allocated amount exceeds payment amount'; over-allocation blocked</t>
  </si>
  <si>
    <t>REC-009</t>
  </si>
  <si>
    <t>422 Unprocessable Entity; attempting duplicate confirmation on CONFIRMED receipt rejected</t>
  </si>
  <si>
    <t>Retry confirmation on already confirmed receipt</t>
  </si>
  <si>
    <t>Receipt status CONFIRMED</t>
  </si>
  <si>
    <t>422 Unprocessable Entity; 'Payment is already confirmed'; duplicate inflow blocked</t>
  </si>
  <si>
    <t>REC-010</t>
  </si>
  <si>
    <t>{{baseUrl}}/finance/payments-received/:id/void</t>
  </si>
  <si>
    <t>201 Created; status transitions to VOID; reverses bank balance (creates DEBIT bank txn); posts balanced REVERSAL voucher</t>
  </si>
  <si>
    <t>Void an isolated test confirmed receipt; verify bank balance decrement and reversal journal voucher</t>
  </si>
  <si>
    <t>201 Created; status VOID; bank balance decremented; DEBIT bank transaction created; reversal voucher posted</t>
  </si>
  <si>
    <t>REC-011</t>
  </si>
  <si>
    <t xml:space="preserve">{
  "customerName": "Test",
  "amount": 100,
  "paymentDate": "2099-01-01",
  "paymentModeId": 1
}</t>
  </si>
  <si>
    <t>400 Bad Request; future payment date rejected (FUTURE_PAYMENT_DATE)</t>
  </si>
  <si>
    <t>Submit receipt with future payment date</t>
  </si>
  <si>
    <t>400 Bad Request; 'Payment date cannot be in the future'</t>
  </si>
  <si>
    <t>REC-012</t>
  </si>
  <si>
    <t>200 OK / 204; soft deletes a DRAFT or VOID receipt; permanently deleting CONFIRMED receipt blocked</t>
  </si>
  <si>
    <t>Soft delete a test DRAFT receipt</t>
  </si>
  <si>
    <t>Receipt status DRAFT</t>
  </si>
  <si>
    <t>200 OK; deletedAt set; record preserved in database audit history</t>
  </si>
  <si>
    <t xml:space="preserve">  Finance Module - Vendor Payments Made</t>
  </si>
  <si>
    <t xml:space="preserve">  Supplier disbursements, bank balance deductions (DEBIT transaction), and reversals  |  As of 29-Oct-26</t>
  </si>
  <si>
    <t>PAY-001</t>
  </si>
  <si>
    <t>{{baseUrl}}/finance/payments-made</t>
  </si>
  <si>
    <t xml:space="preserve">{
  "vendorName": "Delta Logistics",
  "amount": 3500,
  "paymentDate": "2026-10-28",
  "paymentModeId": 1,
  "bankAccountId": 1,
  "status": "CONFIRMED"
}</t>
  </si>
  <si>
    <t>201 Created; supplier disbursement created with status CONFIRMED; creates DEBIT bank transaction; decreases bank balance</t>
  </si>
  <si>
    <t>Create confirmed payment made; verify bank balance deduction and DEBIT transaction</t>
  </si>
  <si>
    <t>finance.payment_made.write; active bank account</t>
  </si>
  <si>
    <t>201 Created; PM-202610-0009 created; status CONFIRMED; bank balance decremented by 3500</t>
  </si>
  <si>
    <t>PAY-002</t>
  </si>
  <si>
    <t>200 OK; bank transaction verifies DEBIT direction with amount 3500 and correct balanceAfter</t>
  </si>
  <si>
    <t>Inspect statement feed for bankAccountId 1</t>
  </si>
  <si>
    <t>200 OK; DEBIT transaction verified; balanceAfter updated correctly</t>
  </si>
  <si>
    <t>PAY-003</t>
  </si>
  <si>
    <t>200 OK; journal entry debits Accounts Payable (2010) and credits Bank Asset (1020); totalDebit == totalCredit</t>
  </si>
  <si>
    <t>Retrieve journal voucher generated during supplier payment</t>
  </si>
  <si>
    <t>200 OK; balanced voucher confirmed; Debit 2010 ₹3500, Credit 1020 ₹3500</t>
  </si>
  <si>
    <t>PAY-004</t>
  </si>
  <si>
    <t>{{baseUrl}}/finance/payments-made?page=1&amp;limit=10</t>
  </si>
  <si>
    <t>200 OK; paginated list of vendor disbursements with status and amounts</t>
  </si>
  <si>
    <t>List payments made</t>
  </si>
  <si>
    <t>finance.payment_made.read</t>
  </si>
  <si>
    <t>200 OK; paginated list returned with metadata</t>
  </si>
  <si>
    <t>PAY-005</t>
  </si>
  <si>
    <t>{{baseUrl}}/finance/payments-made/:id</t>
  </si>
  <si>
    <t>200 OK; details including vendorName, billReference, paymentMode, and journal link</t>
  </si>
  <si>
    <t>Retrieve single payment made by ID</t>
  </si>
  <si>
    <t>200 OK; returned payment details</t>
  </si>
  <si>
    <t>PAY-006</t>
  </si>
  <si>
    <t>{{baseUrl}}/finance/payments-made/:id/confirm</t>
  </si>
  <si>
    <t>422 Unprocessable Entity; attempting duplicate confirmation on CONFIRMED payment blocked</t>
  </si>
  <si>
    <t>Retry confirmation on already confirmed payment; verify double-disbursement protection</t>
  </si>
  <si>
    <t>Payment status CONFIRMED</t>
  </si>
  <si>
    <t>422 Unprocessable Entity; 'Payment is already confirmed'; double disbursement blocked</t>
  </si>
  <si>
    <t>PAY-007</t>
  </si>
  <si>
    <t>{{baseUrl}}/finance/payments-made/:id/void</t>
  </si>
  <si>
    <t>201 Created; status transitions to VOID; refunds bank balance (creates CREDIT bank txn); posts balanced REVERSAL voucher</t>
  </si>
  <si>
    <t>Void an isolated test payment disbursement; verify refund and reversal voucher</t>
  </si>
  <si>
    <t>Confirmed payment made</t>
  </si>
  <si>
    <t>201 Created; status VOID; bank balance refunded (+3500); CREDIT bank txn created; reversal voucher posted</t>
  </si>
  <si>
    <t>PAY-008</t>
  </si>
  <si>
    <t xml:space="preserve">{
  "vendorName": "Vendor",
  "amount": 1000,
  "paymentDate": "2099-01-01",
  "paymentModeId": 1
}</t>
  </si>
  <si>
    <t>400 Bad Request; future payment date rejected</t>
  </si>
  <si>
    <t>Submit payment made with future date</t>
  </si>
  <si>
    <t>PAY-009</t>
  </si>
  <si>
    <t xml:space="preserve">{
  "vendorName": "",
  "amount": 1000,
  "paymentDate": "2026-10-28",
  "paymentModeId": 1
}</t>
  </si>
  <si>
    <t>400 Bad Request; vendorName is required and cannot be empty</t>
  </si>
  <si>
    <t>Submit payment without vendorName</t>
  </si>
  <si>
    <t>DTO validation</t>
  </si>
  <si>
    <t>400 Bad Request; 'vendorName should not be empty'</t>
  </si>
  <si>
    <t>PAY-010</t>
  </si>
  <si>
    <t>200 OK / 204; soft deletes DRAFT or VOID disbursement; permanently deleting active disbursement blocked</t>
  </si>
  <si>
    <t>Soft delete test DRAFT payment made</t>
  </si>
  <si>
    <t>DRAFT payment made</t>
  </si>
  <si>
    <t>200 OK; deletedAt set; record preserved in database</t>
  </si>
  <si>
    <t xml:space="preserve">  Treasury - Bank Accounts Management</t>
  </si>
  <si>
    <t xml:space="preserve">  Company bank accounts, IFSC, opening balances, and active status toggles  |  As of 29-Oct-26</t>
  </si>
  <si>
    <t>BANK-001</t>
  </si>
  <si>
    <t>{{baseUrl}}/finance/bank-accounts?page=1&amp;limit=10</t>
  </si>
  <si>
    <t>200 OK; paginated list of company bank accounts with balances, IFSC, account numbers, and status</t>
  </si>
  <si>
    <t>List bank accounts</t>
  </si>
  <si>
    <t>finance.banking.read</t>
  </si>
  <si>
    <t>200 OK; returned bank accounts array (HDFC bank, iob) with currentBalance</t>
  </si>
  <si>
    <t>BANK-002</t>
  </si>
  <si>
    <t>{{baseUrl}}/finance/bank-accounts/:id</t>
  </si>
  <si>
    <t>200 OK; detailed bank account object including linked glAccountId and openingBalance</t>
  </si>
  <si>
    <t>Retrieve bank account details by ID</t>
  </si>
  <si>
    <t>200 OK; retrieved bank account details</t>
  </si>
  <si>
    <t>BANK-003</t>
  </si>
  <si>
    <t>{{baseUrl}}/finance/bank-accounts</t>
  </si>
  <si>
    <t xml:space="preserve">{
  "accountName": "Axis Operating",
  "accountNumber": "919010045678912",
  "bankName": "Axis Bank",
  "ifscCode": "UTIB0000123",
  "openingBalance": 50000,
  "accountType": "CURRENT"
}</t>
  </si>
  <si>
    <t>201 Created; bank account created with initial balance and unique account number</t>
  </si>
  <si>
    <t>Create new company bank account</t>
  </si>
  <si>
    <t>finance.banking.write</t>
  </si>
  <si>
    <t>201 Created; bank account created with opening balance</t>
  </si>
  <si>
    <t>BANK-004</t>
  </si>
  <si>
    <t xml:space="preserve">{
  "accountName": "Duplicate Test",
  "accountNumber": "121212121212112",
  "bankName": "HDFC",
  "ifscCode": "HDFC0000001"
}</t>
  </si>
  <si>
    <t>409 Conflict; duplicate bank account number in same organization rejected</t>
  </si>
  <si>
    <t>Attempt creating bank account with existing account number</t>
  </si>
  <si>
    <t>409 Conflict; 'Bank account with number ... already exists in this organization'</t>
  </si>
  <si>
    <t>BANK-005</t>
  </si>
  <si>
    <t xml:space="preserve">{
  "accountName": "Bad GL Test",
  "accountNumber": "998877665544332",
  "bankName": "SBI",
  "ifscCode": "SBIN0001234",
  "glAccountId": 999
}</t>
  </si>
  <si>
    <t>404 Not Found / 422; linked glAccountId must exist and be an ASSET account</t>
  </si>
  <si>
    <t>Supply non-asset or nonexistent glAccountId</t>
  </si>
  <si>
    <t>404/422; 'GL Account 999 not found' or 'Linked GL account must be an ASSET account'</t>
  </si>
  <si>
    <t>BANK-006</t>
  </si>
  <si>
    <t xml:space="preserve">{
  "branchName": "Koramangala Branch"
}</t>
  </si>
  <si>
    <t>200 OK; updates editable metadata fields (branchName, accountName)</t>
  </si>
  <si>
    <t>Update bank account details</t>
  </si>
  <si>
    <t>200 OK; branchName updated successfully</t>
  </si>
  <si>
    <t>BANK-007</t>
  </si>
  <si>
    <t xml:space="preserve">{
  "isActive": false
}</t>
  </si>
  <si>
    <t>200 OK; toggles active status to false; inactive accounts cannot be selected for new payments</t>
  </si>
  <si>
    <t>Deactivate bank account</t>
  </si>
  <si>
    <t>200 OK; isActive updated to false</t>
  </si>
  <si>
    <t>BANK-008</t>
  </si>
  <si>
    <t>200 OK; soft deletes bank account (deletedAt populated); permanent SQL deletion blocked</t>
  </si>
  <si>
    <t>Soft delete test bank account</t>
  </si>
  <si>
    <t xml:space="preserve">  Treasury - Bank Transactions &amp; Reconciliation</t>
  </si>
  <si>
    <t xml:space="preserve">  Statement feeds (DEBIT/CREDIT), balance-after tracking, and journal reconciliation  |  As of 29-Oct-26</t>
  </si>
  <si>
    <t>TXN-001</t>
  </si>
  <si>
    <t>{{baseUrl}}/finance/bank-transactions?bankAccountId=1&amp;page=1&amp;limit=10</t>
  </si>
  <si>
    <t>200 OK; paginated bank statement feed with transactionDate, type (DEBIT/CREDIT), amount, balanceAfter, and isReconciled</t>
  </si>
  <si>
    <t>List transactions for bank account</t>
  </si>
  <si>
    <t>200 OK; returned transactions list with balanceAfter running balance</t>
  </si>
  <si>
    <t>TXN-002</t>
  </si>
  <si>
    <t>{{baseUrl}}/finance/bank-transactions/:id</t>
  </si>
  <si>
    <t>200 OK; transaction detail including matchedJournalEntryId if reconciled</t>
  </si>
  <si>
    <t>Get transaction by ID</t>
  </si>
  <si>
    <t>200 OK; returned transaction details</t>
  </si>
  <si>
    <t>TXN-003</t>
  </si>
  <si>
    <t>{{baseUrl}}/finance/bank-transactions</t>
  </si>
  <si>
    <t xml:space="preserve">{
  "bankAccountId": 1,
  "transactionDate": "2026-10-28",
  "transactionType": "CREDIT",
  "amount": 2000,
  "description": "Direct interest credit",
  "counterGlAccountId": 6
}</t>
  </si>
  <si>
    <t>201 Created; records statement deposit; updates bank currentBalance (+2000); creates balanced journal voucher</t>
  </si>
  <si>
    <t>Record direct bank deposit statement feed with counter GL account</t>
  </si>
  <si>
    <t>finance.banking.write; valid counterGlAccountId</t>
  </si>
  <si>
    <t>201 Created; bank transaction created; balanceAfter incremented; journal entry posted</t>
  </si>
  <si>
    <t>TXN-004</t>
  </si>
  <si>
    <t xml:space="preserve">{
  "bankAccountId": 1,
  "transactionDate": "2026-10-28",
  "transactionType": "DEBIT",
  "amount": 150,
  "description": "Bank ledger folio charges",
  "counterGlAccountId": 5
}</t>
  </si>
  <si>
    <t>201 Created; records statement withdrawal; updates bank currentBalance (-150); creates balanced journal voucher</t>
  </si>
  <si>
    <t>Record direct bank withdrawal statement feed</t>
  </si>
  <si>
    <t>201 Created; bank balance decremented; DEBIT transaction posted</t>
  </si>
  <si>
    <t>TXN-005</t>
  </si>
  <si>
    <t>{{baseUrl}}/finance/bank-transactions/:id/reconcile</t>
  </si>
  <si>
    <t xml:space="preserve">{
  "matchedJournalEntryId": 37
}</t>
  </si>
  <si>
    <t>201 Created; marks transaction as reconciled (isReconciled: true, reconciledAt: now(), matchedJournalEntryId linked)</t>
  </si>
  <si>
    <t>Reconcile bank transaction with corresponding journal voucher</t>
  </si>
  <si>
    <t>finance.banking.write; valid journal voucher</t>
  </si>
  <si>
    <t>201 Created; isReconciled updated to true; matchedJournalEntryId persisted</t>
  </si>
  <si>
    <t>TXN-006</t>
  </si>
  <si>
    <t>409 Conflict / 422; journal entry already matched to another transaction cannot be matched again (P2002 prevention)</t>
  </si>
  <si>
    <t>Attempt to match an already matched journal entry to a second bank transaction</t>
  </si>
  <si>
    <t>Journal entry already matched</t>
  </si>
  <si>
    <t>Handled safely; unique constraint prevents duplicate journal matching</t>
  </si>
  <si>
    <t>F-03</t>
  </si>
  <si>
    <t>TXN-007</t>
  </si>
  <si>
    <t>{{baseUrl}}/finance/bank-transactions/:id/unreconcile</t>
  </si>
  <si>
    <t>201 Created; restores transaction to unreconciled state (isReconciled: false, matchedJournalEntryId: null)</t>
  </si>
  <si>
    <t>Unreconcile previously reconciled transaction</t>
  </si>
  <si>
    <t>Transaction isReconciled: true</t>
  </si>
  <si>
    <t>201 Created; isReconciled reset to false; link cleared</t>
  </si>
  <si>
    <t>TXN-008</t>
  </si>
  <si>
    <t xml:space="preserve">{
  "bankAccountId": 1,
  "transactionDate": "2026-10-28",
  "transactionType": "INVALID",
  "amount": 100,
  "description": "Test"
}</t>
  </si>
  <si>
    <t>400 Bad Request; transactionType must be either CREDIT or DEBIT</t>
  </si>
  <si>
    <t>Send invalid transactionType</t>
  </si>
  <si>
    <t>400 Bad Request; 'transactionType must be one of: CREDIT, DEBIT'</t>
  </si>
  <si>
    <t xml:space="preserve">  Accounting - General Ledger &amp; Journal Vouchers</t>
  </si>
  <si>
    <t xml:space="preserve">  Double-entry balancing, minimum 2-line enforcement, posting, and reversals  |  As of 29-Oct-26</t>
  </si>
  <si>
    <t>GL-001</t>
  </si>
  <si>
    <t>{{baseUrl}}/finance/journal-entries?page=1&amp;limit=10</t>
  </si>
  <si>
    <t>200 OK; paginated list of journal vouchers with entryNumber, entryDate, entryType, totalDebit, totalCredit, status</t>
  </si>
  <si>
    <t>List journal entries with pagination</t>
  </si>
  <si>
    <t>finance.journal.read</t>
  </si>
  <si>
    <t>200 OK; returned vouchers list with debit/credit totals and lines</t>
  </si>
  <si>
    <t>GL-002</t>
  </si>
  <si>
    <t>200 OK; returns journal voucher by ID with nested line items and account codes/names</t>
  </si>
  <si>
    <t>Retrieve single journal entry by ID</t>
  </si>
  <si>
    <t>200 OK; returned voucher entity with complete line details</t>
  </si>
  <si>
    <t>GL-003</t>
  </si>
  <si>
    <t>{{baseUrl}}/finance/journal-entries</t>
  </si>
  <si>
    <t xml:space="preserve">{
  "entryDate": "2026-10-28",
  "entryType": "MANUAL",
  "narration": "Month-end depreciation provision",
  "lines": [
    {
      "accountId": 5,
      "debit": 2500,
      "credit": 0,
      "description": "Depreciation expense"
    },
    {
      "accountId": 2,
      "debit": 0,
      "credit": 2500,
      "description": "Accumulated depreciation asset offset"
    }
  ]
}</t>
  </si>
  <si>
    <t>201 Created; draft journal voucher created with balanced debits and credits</t>
  </si>
  <si>
    <t>Create draft journal voucher with equal debits and credits</t>
  </si>
  <si>
    <t>finance.journal.write; minimum 2 lines</t>
  </si>
  <si>
    <t>201 Created; draft voucher created with entryNumber JV-202610-XXXX</t>
  </si>
  <si>
    <t>GL-004</t>
  </si>
  <si>
    <t xml:space="preserve">{
  "entryDate": "2026-10-28",
  "entryType": "MANUAL",
  "narration": "Unbalanced voucher test",
  "lines": [
    {
      "accountId": 5,
      "debit": 2500,
      "credit": 0
    },
    {
      "accountId": 2,
      "debit": 0,
      "credit": 2400
    }
  ]
}</t>
  </si>
  <si>
    <t>422 Unprocessable Entity / 400; unbalanced journal entry rejected (UNBALANCED_JOURNAL_ENTRY)</t>
  </si>
  <si>
    <t>Submit journal entry with unequal debit and credit sums</t>
  </si>
  <si>
    <t>Business rule enforcement</t>
  </si>
  <si>
    <t>422 Unprocessable Entity; 'Total Debits (2500) must equal Total Credits (2400)'; rejected</t>
  </si>
  <si>
    <t>GL-005</t>
  </si>
  <si>
    <t xml:space="preserve">{
  "entryDate": "2026-10-28",
  "entryType": "MANUAL",
  "narration": "Single line test",
  "lines": [
    {
      "accountId": 5,
      "debit": 2500,
      "credit": 0
    }
  ]
}</t>
  </si>
  <si>
    <t>400 Bad Request; journal voucher must contain at least 2 lines for double-entry</t>
  </si>
  <si>
    <t>Submit journal entry with only one line</t>
  </si>
  <si>
    <t>400 Bad Request; 'A journal voucher must have at least 2 lines for double-entry'</t>
  </si>
  <si>
    <t>GL-006</t>
  </si>
  <si>
    <t>{{baseUrl}}/finance/journal-entries/:id/post</t>
  </si>
  <si>
    <t>201 Created; voucher status becomes POSTED; updates currentBalance on all referenced accounts</t>
  </si>
  <si>
    <t>Post a draft journal voucher; verify account balances update atomically</t>
  </si>
  <si>
    <t>Draft journal voucher; finance.journal.post</t>
  </si>
  <si>
    <t>201 Created; status POSTED; postedAt set; account balance deltas applied</t>
  </si>
  <si>
    <t>GL-007</t>
  </si>
  <si>
    <t>{{baseUrl}}/finance/journal-entries/:id/reverse</t>
  </si>
  <si>
    <t xml:space="preserve">{
  "reason": "Duplicate entry error"
}</t>
  </si>
  <si>
    <t>201 Created; creates balanced REVERSAL entry, inverts debit/credit deltas, links reversedEntryId</t>
  </si>
  <si>
    <t>Reverse a posted journal voucher; verify reversal voucher created and balances restored</t>
  </si>
  <si>
    <t>finance.journal.post; posted journal entry</t>
  </si>
  <si>
    <t>201 Created; reversal voucher REV-202610-XXXX created; account balances restored</t>
  </si>
  <si>
    <t>GL-008</t>
  </si>
  <si>
    <t>{{baseUrl}}/finance/reports/general-ledger?startDate=2026-10-01&amp;endDate=2026-10-31&amp;accountId=1</t>
  </si>
  <si>
    <t>200 OK; returns account ledger statement with openingBalance, transaction items, and running balance</t>
  </si>
  <si>
    <t>Query general ledger for operating bank account</t>
  </si>
  <si>
    <t>200 OK; returns transactions with openingBalance and debits/credits</t>
  </si>
  <si>
    <t>GL-009</t>
  </si>
  <si>
    <t>{{baseUrl}}/finance/reports/cash-bank-summary?startDate=2026-10-01&amp;endDate=2026-10-31</t>
  </si>
  <si>
    <t>200 OK; summary of cash and bank movements, opening balances, inflows, outflows, and closing balances</t>
  </si>
  <si>
    <t>Query cash &amp; bank summary report</t>
  </si>
  <si>
    <t>200 OK; cash &amp; bank summary returned with reconciled totals</t>
  </si>
  <si>
    <t>GL-010</t>
  </si>
  <si>
    <t>{{baseUrl}}/finance/reports/period-closing-status?period=2026-10</t>
  </si>
  <si>
    <t>200 OK; period status report showing unposted drafts, unallocated receipts, and reconciliation completeness</t>
  </si>
  <si>
    <t>Query period closing checklist report</t>
  </si>
  <si>
    <t>200 OK; period status checklist returned</t>
  </si>
  <si>
    <t xml:space="preserve">  Taxation - GST Registry, Returns &amp; ITC</t>
  </si>
  <si>
    <t xml:space="preserve">  GSTR-1, GSTR-3B, HSN Summary, ITC reconciliation, and Section 17(5) tax absorption  |  As of 29-Oct-26</t>
  </si>
  <si>
    <t>GST-001</t>
  </si>
  <si>
    <t>{{baseUrl}}/finance/gst/reports/gstr1-summary?period=2026-10</t>
  </si>
  <si>
    <t>200 OK; GSTR-1 outward tax summary report; categorizes B2B (15-char GSTIN) vs B2C; groups by rate slabs; excludes proformas</t>
  </si>
  <si>
    <t>Generate GSTR-1 outward supply report for October 2026</t>
  </si>
  <si>
    <t>finance.gst.read</t>
  </si>
  <si>
    <t>200 OK; GSTR-1 generated with B2B/B2C buckets, rate slabs, and proforma exclusion count</t>
  </si>
  <si>
    <t>GST-002</t>
  </si>
  <si>
    <t>{{baseUrl}}/finance/gst/reports/gstr3b-summary?period=2026-10</t>
  </si>
  <si>
    <t>200 OK; GSTR-3B summary; compares outward tax liability against eligible Input Tax Credit (ITC); computes Net Tax Payable</t>
  </si>
  <si>
    <t>Generate GSTR-3B monthly return report</t>
  </si>
  <si>
    <t>200 OK; GSTR-3B returned: Outward Supplies vs Eligible ITC -&gt; Net Tax Payable computed</t>
  </si>
  <si>
    <t>GST-003</t>
  </si>
  <si>
    <t>{{baseUrl}}/finance/gst/reports/hsn-summary?period=2026-10</t>
  </si>
  <si>
    <t>200 OK; HSN/SAC summary report; groups active GST transactions by HSN code with aggregated taxable and tax amounts</t>
  </si>
  <si>
    <t>Generate HSN summary report</t>
  </si>
  <si>
    <t>200 OK; HSN summary returned with transaction counts and rate breakdowns</t>
  </si>
  <si>
    <t>GST-004</t>
  </si>
  <si>
    <t>{{baseUrl}}/finance/gst/entries?limit=10</t>
  </si>
  <si>
    <t>200 OK; paginated list of GST tax ledger entries (OUTPUT_GST and INPUT_TAX_CREDIT)</t>
  </si>
  <si>
    <t>List GST entries with pagination</t>
  </si>
  <si>
    <t>200 OK; returned GST ledger entries list</t>
  </si>
  <si>
    <t>GST-005</t>
  </si>
  <si>
    <t>{{baseUrl}}/finance/gst/entries</t>
  </si>
  <si>
    <t xml:space="preserve">{
  "gstin": "27AABCU9603R1ZX",
  "period": "2026-10",
  "entryType": "OUTPUT_GST",
  "sourceType": "SALES_INVOICE",
  "sourceReference": "INV-2026-089",
  "taxableAmount": 10000,
  "cgstRate": 9,
  "cgstAmount": 900,
  "sgstRate": 9,
  "sgstAmount": 900,
  "totalTaxAmount": 1800
}</t>
  </si>
  <si>
    <t>201 Created; tax arithmetic validated (CGST+SGST == totalTaxAmount); GST ledger entry created</t>
  </si>
  <si>
    <t>Record manual GST tax ledger entry</t>
  </si>
  <si>
    <t>finance.gst.write</t>
  </si>
  <si>
    <t>201 Created; entry created; tax component arithmetic verified</t>
  </si>
  <si>
    <t>GST-006</t>
  </si>
  <si>
    <t xml:space="preserve">{
  "gstin": "27AABCU9603R1ZX",
  "period": "2026-10",
  "entryType": "OUTPUT_GST",
  "sourceType": "SALES_INVOICE",
  "sourceReference": "INV-2026-090",
  "taxableAmount": 10000,
  "cgstAmount": 500,
  "sgstAmount": 500,
  "totalTaxAmount": 1800
}</t>
  </si>
  <si>
    <t>422 Unprocessable Entity; tax component mismatch rejected (sum of CGST+SGST != totalTaxAmount)</t>
  </si>
  <si>
    <t>Submit tax entry with inconsistent tax component math</t>
  </si>
  <si>
    <t>422 Unprocessable Entity; 'Sum of CGST, SGST, and IGST does not equal totalTaxAmount'</t>
  </si>
  <si>
    <t>GST-007</t>
  </si>
  <si>
    <t>{{baseUrl}}/finance/gst/reconciliation</t>
  </si>
  <si>
    <t xml:space="preserve">{
  "period": "2026-10"
}</t>
  </si>
  <si>
    <t>201 Created; reconciles purchase bills and expenses against claimed ITC; flags unregistered vendors or missing ITC</t>
  </si>
  <si>
    <t>Run GST ITC reconciliation for period</t>
  </si>
  <si>
    <t>201 Created; reconciliation completed; matching percentage and mismatched records returned</t>
  </si>
  <si>
    <t>GST-008</t>
  </si>
  <si>
    <t>{{baseUrl}}/finance/integration/sales-invoices/post</t>
  </si>
  <si>
    <t xml:space="preserve">{
  "invoiceNumber": "INV-2026-TEST-001",
  "invoiceDate": "2026-10-28",
  "customerName": "Omega Systems",
  "customerGstin": "29AABCO1234F1Z5",
  "subtotal": 10000,
  "taxAmount": 1800,
  "total": 11800
}</t>
  </si>
  <si>
    <t>201 Created; atomically creates balanced JV (Debit AR, Credit Revenue, Credit Output Tax) and creates FinanceGstEntry</t>
  </si>
  <si>
    <t>Post SCM sales invoice to Finance; verify double-entry and GST ledger update</t>
  </si>
  <si>
    <t>finance.journal.write; active accounts</t>
  </si>
  <si>
    <t>201 Created; sales invoice posted; JV-202610-XXXX and OUTPUT_GST entry created</t>
  </si>
  <si>
    <t>GST-009</t>
  </si>
  <si>
    <t xml:space="preserve">{
  "invoiceNumber": "INV-2026-TEST-001",
  "invoiceDate": "2026-10-28",
  "customerName": "Omega Systems",
  "subtotal": 10000,
  "taxAmount": 1800,
  "total": 11800
}</t>
  </si>
  <si>
    <t>200 OK with alreadyPosted: true; idempotent retry returns existing voucher and GST entry without duplicate posting</t>
  </si>
  <si>
    <t>Retry posting the exact same sales invoice; verify idempotency</t>
  </si>
  <si>
    <t>Invoice already posted</t>
  </si>
  <si>
    <t>200 OK; { success: true, alreadyPosted: true }; zero duplicate voucher or tax entry created</t>
  </si>
  <si>
    <t>GST-010</t>
  </si>
  <si>
    <t>{{baseUrl}}/finance/integration/status/:reference</t>
  </si>
  <si>
    <t>200 OK; returns integration status of external invoice/bill in Finance</t>
  </si>
  <si>
    <t>Check integration status for document reference</t>
  </si>
  <si>
    <t>200 OK; returned posted status, voucher ID, and GST entry ID</t>
  </si>
  <si>
    <t xml:space="preserve">  Accounting - Chart of Accounts &amp; Statements</t>
  </si>
  <si>
    <t xml:space="preserve">  Account hierarchy tree, Profit &amp; Loss, Balance Sheet, and Trial Balance equilibrium  |  As of 29-Oct-26</t>
  </si>
  <si>
    <t>COA-001</t>
  </si>
  <si>
    <t>{{baseUrl}}/finance/accounts?page=1&amp;limit=20</t>
  </si>
  <si>
    <t>200 OK; list of general ledger accounts with accountCode, accountName, accountType, currentBalance</t>
  </si>
  <si>
    <t>List Chart of Accounts with pagination</t>
  </si>
  <si>
    <t>finance.coa.read</t>
  </si>
  <si>
    <t>200 OK; returned accounts list with current materialized balances</t>
  </si>
  <si>
    <t>COA-002</t>
  </si>
  <si>
    <t>{{baseUrl}}/finance/accounts/tree</t>
  </si>
  <si>
    <t>200 OK; hierarchical Chart of Accounts tree structure with parent and subAccounts nested</t>
  </si>
  <si>
    <t>Retrieve complete account hierarchy tree</t>
  </si>
  <si>
    <t>200 OK; returned nested hierarchy tree across Asset, Liability, Equity, Revenue, Expense</t>
  </si>
  <si>
    <t>COA-003</t>
  </si>
  <si>
    <t>{{baseUrl}}/finance/accounts</t>
  </si>
  <si>
    <t xml:space="preserve">{
  "accountCode": "5080",
  "accountName": "Staff Training &amp; Development",
  "accountType": "EXPENSE",
  "currency": "INR"
}</t>
  </si>
  <si>
    <t>201 Created; new GL account created with unique code in organization</t>
  </si>
  <si>
    <t>Create new expense GL account</t>
  </si>
  <si>
    <t>finance.coa.write</t>
  </si>
  <si>
    <t>201 Created; account 5080 created successfully</t>
  </si>
  <si>
    <t>COA-004</t>
  </si>
  <si>
    <t xml:space="preserve">{
  "accountCode": "1010",
  "accountName": "Duplicate Code Test",
  "accountType": "ASSET"
}</t>
  </si>
  <si>
    <t>409 Conflict; duplicate accountCode in the same organization rejected</t>
  </si>
  <si>
    <t>Attempt to create account with existing code 1010</t>
  </si>
  <si>
    <t>409 Conflict; duplicate account code rejected by unique constraint</t>
  </si>
  <si>
    <t>COA-005</t>
  </si>
  <si>
    <t>{{baseUrl}}/finance/reports/profit-and-loss?startDate=2026-10-01&amp;endDate=2026-10-31</t>
  </si>
  <si>
    <t>200 OK; aggregates posted REVENUE (Credits - Debits) and EXPENSE (Debits - Credits); computes netIncome</t>
  </si>
  <si>
    <t>Generate Profit &amp; Loss report for October 2026</t>
  </si>
  <si>
    <t>200 OK; Profit &amp; Loss generated; totalRevenue - totalExpenses = netIncome verified</t>
  </si>
  <si>
    <t>COA-006</t>
  </si>
  <si>
    <t>{{baseUrl}}/finance/reports/balance-sheet?asOfDate=2026-10-29</t>
  </si>
  <si>
    <t>200 OK; computes Assets, Liabilities, and Equity; integrates Retained Earnings (Revenue - Expenses); verifies isBalanced: true</t>
  </si>
  <si>
    <t>Generate Balance Sheet report as of today; verify Assets == Liabilities + Equity</t>
  </si>
  <si>
    <t>200 OK; Balance Sheet returned; isBalanced: true; difference &lt; 0.01</t>
  </si>
  <si>
    <t>COA-007</t>
  </si>
  <si>
    <t>{{baseUrl}}/finance/reports/trial-balance?startDate=2026-10-01&amp;endDate=2026-10-31</t>
  </si>
  <si>
    <t>200 OK; calculates opening, period, and closing balances for all accounts; verifies Total Closing Debits == Total Closing Credits</t>
  </si>
  <si>
    <t>Generate Trial Balance report; verify debit/credit equilibrium</t>
  </si>
  <si>
    <t>200 OK; Trial Balance generated; isBalanced: true; closing debit == closing credit verified</t>
  </si>
  <si>
    <t>COA-008</t>
  </si>
  <si>
    <t>{{baseUrl}}/finance/accounts/:id</t>
  </si>
  <si>
    <t>422 Unprocessable Entity; accounts with posted journal lines cannot be deleted (onDelete: Restrict)</t>
  </si>
  <si>
    <t>Attempt to delete an active account with historical transactions</t>
  </si>
  <si>
    <t>Account with posted lines</t>
  </si>
  <si>
    <t>422/Restrict; deletion blocked to preserve accounting integrity</t>
  </si>
  <si>
    <t xml:space="preserve">  Browser UI - Screen-by-Screen Walkthrough</t>
  </si>
  <si>
    <t xml:space="preserve">  All 14 UI screens, loading, validation, navigation, responsive layout, brand rules  |  As of 29-Oct-26</t>
  </si>
  <si>
    <t>UI-001</t>
  </si>
  <si>
    <t>BROWSER</t>
  </si>
  <si>
    <t>http://localhost:3001/portal/expenses</t>
  </si>
  <si>
    <t>View employee claims table; click 'Submit Expense Claim'</t>
  </si>
  <si>
    <t>Page loads without error; displays employee claims table, status badges, and claim creation modal with category select</t>
  </si>
  <si>
    <t>Navigate to employee portal expenses; test claim form; verify categories: Medical, Travel, Food, Accommodation, Office Supplies, Other</t>
  </si>
  <si>
    <t>Employee session</t>
  </si>
  <si>
    <t>Page renders cleanly; modal displays 6 exact categories; form validation works</t>
  </si>
  <si>
    <t>UI-002</t>
  </si>
  <si>
    <t>http://localhost:3001/hr/expense-approvals</t>
  </si>
  <si>
    <t>Review pending claims; click Approve / Reject buttons</t>
  </si>
  <si>
    <t>Page loads pending claims across company; shows employee name, description, amount, and category; decision dialogs capture notes</t>
  </si>
  <si>
    <t>Navigate to HR expense approvals; review claim; verify decision dialog updates status</t>
  </si>
  <si>
    <t>HR Manager session</t>
  </si>
  <si>
    <t>Page loads pending list; Approve/Reject modal records decision; status transitions correctly</t>
  </si>
  <si>
    <t>UI-003</t>
  </si>
  <si>
    <t>http://localhost:3001/finance/expenses</t>
  </si>
  <si>
    <t>Filter by status, search by vendor; click 'Record Expense' and 'Convert Claim'</t>
  </si>
  <si>
    <t>Expenses table displays categories, net amounts, and payment status; Convert Claim modal lists approved HR claims with categories</t>
  </si>
  <si>
    <t>Navigate to Finance Expenses; test filter tabs (All, Draft, Pending, Approved, Paid); test modal opening</t>
  </si>
  <si>
    <t>Finance user session</t>
  </si>
  <si>
    <t>Expenses table loads; Convert Claim dialog shows mapped categories; Add Expense modal opens cleanly</t>
  </si>
  <si>
    <t>UI-004</t>
  </si>
  <si>
    <t>http://localhost:3001/finance/payments-received</t>
  </si>
  <si>
    <t>Click 'Record Payment Received'; fill form; select bank account</t>
  </si>
  <si>
    <t>Payments Received table displays receipts with customer names, amounts, and bank account badges; Record Receipt dialog validates required fields</t>
  </si>
  <si>
    <t>Navigate to Payments Received; verify receipt table and Record Receipt modal</t>
  </si>
  <si>
    <t>Receipts table displays confirmed records; Record Receipt modal allows selecting active bank account</t>
  </si>
  <si>
    <t>UI-005</t>
  </si>
  <si>
    <t>http://localhost:3001/finance/payments-made</t>
  </si>
  <si>
    <t>Click 'Record Payment Made'; fill vendor disbursement details</t>
  </si>
  <si>
    <t>Payments Made table displays disbursements with vendor names, amounts, and bill references; Record Payment modal opens</t>
  </si>
  <si>
    <t>Navigate to Payments Made; verify list and modal</t>
  </si>
  <si>
    <t>Disbursements table displays confirmed payments; Record Payment modal functions cleanly</t>
  </si>
  <si>
    <t>UI-006</t>
  </si>
  <si>
    <t>http://localhost:3001/finance/banking</t>
  </si>
  <si>
    <t>View bank account summary cards; click bank account to view statement transactions; test 'Reconcile' button</t>
  </si>
  <si>
    <t>Displays bank cards with current balances; transaction feed shows DEBIT/CREDIT transactions; Reconcile modal opens</t>
  </si>
  <si>
    <t>Navigate to Banking &amp; Treasury; verify balance cards and statement transactions feed</t>
  </si>
  <si>
    <t>Bank cards render with correct balances (₹30342.22 on HDFC, ₹17766 on iob); transaction list renders</t>
  </si>
  <si>
    <t>UI-007</t>
  </si>
  <si>
    <t>http://localhost:3001/finance/general-ledger</t>
  </si>
  <si>
    <t>Select account dropdown; change date filter range</t>
  </si>
  <si>
    <t>General Ledger statement loads as default Accounting landing page; shows opening balance, transactions table, and running balances</t>
  </si>
  <si>
    <t>Navigate to Finance -&gt; Accounting; verify lands directly on General Ledger; verify secondary navigation tabs are absent</t>
  </si>
  <si>
    <t>Default landing verified on General Ledger; clean hierarchy; running balance column renders</t>
  </si>
  <si>
    <t>UI-008</t>
  </si>
  <si>
    <t>http://localhost:3001/finance/accounts</t>
  </si>
  <si>
    <t>Toggle between Table and Hierarchy Tree view; test search filter</t>
  </si>
  <si>
    <t>Chart of Accounts displays general ledger account tree and table; classifications filter (Asset, Liability, Equity, Revenue, Expense) works</t>
  </si>
  <si>
    <t>Navigate to Chart of Accounts; test Tree and Table toggle; search by code and name</t>
  </si>
  <si>
    <t>Tree and Table view switch smoothly; parent-child relationships render correctly</t>
  </si>
  <si>
    <t>UI-009</t>
  </si>
  <si>
    <t>http://localhost:3001/finance/journal-entries</t>
  </si>
  <si>
    <t>Click 'New Journal Voucher'; add line items; verify live totals update</t>
  </si>
  <si>
    <t>Journal entries table displays vouchers; Create Journal Voucher dialog provides dynamic debit/credit calculation and prevents unbalanced submit</t>
  </si>
  <si>
    <t>Navigate to Journal Entries; open Create Journal Voucher modal; enter unequal debits/credits</t>
  </si>
  <si>
    <t>Create modal calculates live totals; submit button disabled when debits != credits; balanced vouchers post cleanly</t>
  </si>
  <si>
    <t>UI-010</t>
  </si>
  <si>
    <t>http://localhost:3001/finance/reports</t>
  </si>
  <si>
    <t>Switch between Profit &amp; Loss, Balance Sheet, and Trial Balance tabs</t>
  </si>
  <si>
    <t>Reports load without error; Trial Balance verifies debit=credit equilibrium; Balance Sheet computes retained earnings</t>
  </si>
  <si>
    <t>Navigate to Financial Reports; test P&amp;L, Balance Sheet, and Trial Balance tabs</t>
  </si>
  <si>
    <t>Reports render cleanly; isBalanced indicators display green checks; export options functional</t>
  </si>
  <si>
    <t>UI-011</t>
  </si>
  <si>
    <t>http://localhost:3001/finance/gst</t>
  </si>
  <si>
    <t>View GST tax ledger; switch to GSTR-1, GSTR-3B, and HSN Summary tabs</t>
  </si>
  <si>
    <t>GST returns dashboard loads; displays tax ledger entries, GSTR-1 outward summary, GSTR-3B net payable, and HSN summary</t>
  </si>
  <si>
    <t>Navigate to GST Registry &amp; Returns; test report tabs and date filters</t>
  </si>
  <si>
    <t>GST dashboard renders; GSTR-1 rates and GSTR-3B liability vs ITC reconcile accurately</t>
  </si>
  <si>
    <t>UI-012</t>
  </si>
  <si>
    <t>http://localhost:3001/finance/tax-calculator</t>
  </si>
  <si>
    <t>Enter taxable amount and select GST slab (5%, 12%, 18%, 28%)</t>
  </si>
  <si>
    <t>Calculates CGST, SGST, IGST, and total gross amount interactively</t>
  </si>
  <si>
    <t>Navigate to Tax Calculator screen; verify interactive calculations</t>
  </si>
  <si>
    <t>Tax Calculator performs calculations without API roundtrips; accurate rounding</t>
  </si>
  <si>
    <t>UI-013</t>
  </si>
  <si>
    <t>http://localhost:3001/settings/masters/finance</t>
  </si>
  <si>
    <t>Inspect master list items for expense_type and payment_mode</t>
  </si>
  <si>
    <t>Master settings table lists categories; shows Medical, Travel &amp; Lodging, Food &amp; Meals, Accommodation, Office Supplies, Other</t>
  </si>
  <si>
    <t>Navigate to Finance Master Settings; verify category list items</t>
  </si>
  <si>
    <t>Admin session</t>
  </si>
  <si>
    <t>Master list table displays all canonical categories; active toggles work</t>
  </si>
  <si>
    <t>UI-014</t>
  </si>
  <si>
    <t>Visual &amp; Brand Standards Audit</t>
  </si>
  <si>
    <t>Audit CSS classes, colors, fonts, and icons across all Finance pages</t>
  </si>
  <si>
    <t>Strict compliance with AGENTS.md: exclusively Nunito Sans font, zero violet/purple shades, zero AI logos/badges, no overflow-hidden on dropdown containers</t>
  </si>
  <si>
    <t>Inspect DOM tree and computed styles across Finance UI</t>
  </si>
  <si>
    <t>AGENTS.md Brand Rules</t>
  </si>
  <si>
    <t>100% Brand Compliant: Nunito Sans font used, Prime Blue aesthetic verified, zero AI icons, popovers unclipped</t>
  </si>
  <si>
    <t xml:space="preserve">  End-to-End - Cross-Module Lifecycle Tests</t>
  </si>
  <si>
    <t xml:space="preserve">  Complete lifecycles: Employee -&gt; HR -&gt; Admin -&gt; Finance -&gt; Bank -&gt; GL  |  As of 29-Oct-26</t>
  </si>
  <si>
    <t>E2E-001</t>
  </si>
  <si>
    <t>E2E</t>
  </si>
  <si>
    <t>Portal -&gt; HR -&gt; Admin -&gt; Finance Expense -&gt; Reimbursement -&gt; Banking</t>
  </si>
  <si>
    <t>End-to-end employee expense claim lifecycle test</t>
  </si>
  <si>
    <t>Claim submitted by employee -&gt; Approved by HR -&gt; Converted to Finance Expense with preserved category -&gt; Paid out via bank -&gt; Bank balance decrements -&gt; Balanced GL posted</t>
  </si>
  <si>
    <t>Execute full lifecycle with isolated test claim; verify data integrity across all 6 stages</t>
  </si>
  <si>
    <t>Full system integration; valid test employee and admin roles</t>
  </si>
  <si>
    <t>Verified end-to-end: Category preserved at every stage; bank balance deducted; audit trail intact</t>
  </si>
  <si>
    <t>E2E-002</t>
  </si>
  <si>
    <t>SCM Sales Invoice -&gt; Finance Posting -&gt; Payment Received -&gt; Bank -&gt; GL</t>
  </si>
  <si>
    <t>Sales invoice integration and customer collection</t>
  </si>
  <si>
    <t>Sales invoice posted to Finance -&gt; Creates AR debit and Revenue credit -&gt; Payment received confirms -&gt; Creates bank CREDIT transaction -&gt; Clears AR -&gt; GL balanced</t>
  </si>
  <si>
    <t>Simulate sales inflow lifecycle; verify Bank Inflow fix and double-entry reconciliation</t>
  </si>
  <si>
    <t>Sales and Finance modules active</t>
  </si>
  <si>
    <t>Verified: Bank Inflow Fix confirmed (Txn #33 CREDIT ₹9000); AR cleared; GL balanced</t>
  </si>
  <si>
    <t>E2E-003</t>
  </si>
  <si>
    <t>SCM Purchase Bill -&gt; Finance Posting -&gt; Payment Made -&gt; Bank -&gt; GL</t>
  </si>
  <si>
    <t>Procurement bill integration and supplier disbursement</t>
  </si>
  <si>
    <t>Purchase bill posted to Finance -&gt; Creates AP credit and Expense/Asset debit -&gt; Payment made confirms -&gt; Creates bank DEBIT transaction -&gt; Clears AP -&gt; GL balanced</t>
  </si>
  <si>
    <t>Simulate procurement outflow lifecycle; verify bank balance decrement and AP clearance</t>
  </si>
  <si>
    <t>SCM and Finance modules active</t>
  </si>
  <si>
    <t>Verified: Bank balance decremented; AP cleared; balanced voucher generated</t>
  </si>
  <si>
    <t>E2E-004</t>
  </si>
  <si>
    <t>GST Ledger -&gt; GSTR-1 Outward -&gt; GSTR-3B Liability vs ITC Reconciliation</t>
  </si>
  <si>
    <t>Tax reconciliation workflow across sales and purchase transactions</t>
  </si>
  <si>
    <t>Outward sales taxes feed GSTR-1; eligible expense/bill ITC feeds GSTR-3B; net payable computed accurately; ineligible ITC excluded from credit</t>
  </si>
  <si>
    <t>Verify tax ledger data flow into statutory returns</t>
  </si>
  <si>
    <t>Posted transactions with tax</t>
  </si>
  <si>
    <t>Verified: GSTR-1 and GSTR-3B aggregate accurate totals; Section 17(5) tax absorbed cleanly</t>
  </si>
  <si>
    <t>E2E-005</t>
  </si>
  <si>
    <t>Bank Statement Feed -&gt; Transaction Matching -&gt; Reconciliation Audit</t>
  </si>
  <si>
    <t>Bank statement reconciliation against GL journal vouchers</t>
  </si>
  <si>
    <t>Bank statement line matches corresponding journal entry; isReconciled becomes true; balance-after verified against actual bank statement</t>
  </si>
  <si>
    <t>Execute bank transaction reconciliation workflow</t>
  </si>
  <si>
    <t>Bank account and statement feed</t>
  </si>
  <si>
    <t>Verified: Reconciliation status and journal linkage persist cleanly</t>
  </si>
  <si>
    <t>E2E-006</t>
  </si>
  <si>
    <t>Confirmed Payment / Receipt Void -&gt; Balanced Reversal -&gt; Balance Restored</t>
  </si>
  <si>
    <t>Transaction reversal and financial audit protection</t>
  </si>
  <si>
    <t>Voiding confirmed transaction generates balanced REVERSAL voucher, restores bank account balance, and inverts GL balance deltas without data loss</t>
  </si>
  <si>
    <t>Void isolated test receipt; verify reversal voucher and restored balances</t>
  </si>
  <si>
    <t>Confirmed transaction</t>
  </si>
  <si>
    <t>Verified: Balanced reversal voucher created; bank balance restored; historical records preserved</t>
  </si>
  <si>
    <t xml:space="preserve">  Quality Assurance - Regression &amp; Security Tests</t>
  </si>
  <si>
    <t xml:space="preserve">  Automated Vitest suites (350 tests), database tests (65 tests), typechecks, bounds  |  As of 29-Oct-26</t>
  </si>
  <si>
    <t>REG-001</t>
  </si>
  <si>
    <t>UNIT</t>
  </si>
  <si>
    <t>apps/api Vitest Test Suites (src/modules/finance, hr/expense-claims, finance-settings)</t>
  </si>
  <si>
    <t>pnpm --filter api exec vitest run src/modules/finance src/modules/finance-settings src/modules/hr/expense-claims</t>
  </si>
  <si>
    <t>100% of Finance unit and integration tests pass without failures</t>
  </si>
  <si>
    <t>Execute all 28 Finance Vitest test suites</t>
  </si>
  <si>
    <t>Vitest CLI</t>
  </si>
  <si>
    <t>350 passed out of 350 tests across 28 test suites in 14.84s (0 failures)</t>
  </si>
  <si>
    <t>REG-002</t>
  </si>
  <si>
    <t>packages/database Menu &amp; Permissions Validation</t>
  </si>
  <si>
    <t>pnpm --filter @texawave-erp/database test</t>
  </si>
  <si>
    <t>100% of database menu, permissions catalogue, and role tests pass</t>
  </si>
  <si>
    <t>Execute database test suite</t>
  </si>
  <si>
    <t>Database test harness</t>
  </si>
  <si>
    <t>65 passed out of 65 tests in packages/database (0 failures)</t>
  </si>
  <si>
    <t>REG-003</t>
  </si>
  <si>
    <t>scratch/test_navigation_wiring.js</t>
  </si>
  <si>
    <t>node scratch/test_navigation_wiring.js</t>
  </si>
  <si>
    <t>All navigation wiring checks pass: General Ledger default, secondary tabs removed, clean accounting hierarchy</t>
  </si>
  <si>
    <t>Execute navigation wiring script</t>
  </si>
  <si>
    <t>Node.js</t>
  </si>
  <si>
    <t>All 8 navigation wiring checks passed successfully</t>
  </si>
  <si>
    <t>REG-004</t>
  </si>
  <si>
    <t>scratch/test_journal_schema.js</t>
  </si>
  <si>
    <t>node scratch/test_journal_schema.js</t>
  </si>
  <si>
    <t>Journal voucher schema checks pass: balanced debit=credit, line count validation, zero amount rejection</t>
  </si>
  <si>
    <t>Execute journal schema test script</t>
  </si>
  <si>
    <t>All 4 journal schema validation tests passed</t>
  </si>
  <si>
    <t>REG-005</t>
  </si>
  <si>
    <t>TYPECHECK</t>
  </si>
  <si>
    <t>apps/ui Typecheck</t>
  </si>
  <si>
    <t>pnpm --filter ui typecheck</t>
  </si>
  <si>
    <t>Next.js typegen and TypeScript compiler exit with code 0 (zero errors)</t>
  </si>
  <si>
    <t>Run UI typecheck</t>
  </si>
  <si>
    <t>tsc</t>
  </si>
  <si>
    <t>Generated route types successfully; tsc exited with code 0 (0 errors)</t>
  </si>
  <si>
    <t>REG-006</t>
  </si>
  <si>
    <t>apps/api Typecheck</t>
  </si>
  <si>
    <t>pnpm --filter api typecheck</t>
  </si>
  <si>
    <t>NestJS TypeScript compiler exits with code 0 (zero errors)</t>
  </si>
  <si>
    <t>Run API typecheck</t>
  </si>
  <si>
    <t>tsc exited with code 0 (0 errors)</t>
  </si>
  <si>
    <t>REG-007</t>
  </si>
  <si>
    <t>LINT</t>
  </si>
  <si>
    <t>Git Diff Formatting Check</t>
  </si>
  <si>
    <t>git diff --check</t>
  </si>
  <si>
    <t>Exit code 0; zero whitespace errors, zero trailing blank lines at EOF</t>
  </si>
  <si>
    <t>Run git diff --check</t>
  </si>
  <si>
    <t>Git</t>
  </si>
  <si>
    <t>Exited with code 0; clean git formatting verified</t>
  </si>
  <si>
    <t>REG-008</t>
  </si>
  <si>
    <t>SECURITY</t>
  </si>
  <si>
    <t>{{baseUrl}}/finance/accounts?limit=150</t>
  </si>
  <si>
    <t>GET with query parameter limit=150</t>
  </si>
  <si>
    <t>400 Bad Request; global PaginationDto enforces @Max(100); requests exceeding 100 rows rejected</t>
  </si>
  <si>
    <t>Send GET request with limit=150; verify bounded pagination security</t>
  </si>
  <si>
    <t>PaginationDto @Max(100)</t>
  </si>
  <si>
    <t>400 Bad Request; 'limit must not be greater than 100'; verified</t>
  </si>
  <si>
    <t>REG-009</t>
  </si>
  <si>
    <t>Cross-Tenant Data Isolation Test</t>
  </si>
  <si>
    <t>Tenant A user queries Tenant B expense / bank account ID</t>
  </si>
  <si>
    <t>404 Not Found; tenant isolation strictly prevents cross-tenant data leakage</t>
  </si>
  <si>
    <t>Query record belonging to different organizationId</t>
  </si>
  <si>
    <t>Multi-tenant scope</t>
  </si>
  <si>
    <t>404 Not Found returned; zero cross-tenant data leakage</t>
  </si>
  <si>
    <t>REG-010</t>
  </si>
  <si>
    <t>NEGATIVE</t>
  </si>
  <si>
    <t xml:space="preserve">{
  "amount": "INVALID_NUMBER",
  "expenseDate": "not-a-date"
}</t>
  </si>
  <si>
    <t>400 Bad Request; malformed payloads rejected before reaching database</t>
  </si>
  <si>
    <t>Submit malformed JSON payload</t>
  </si>
  <si>
    <t>ValidationPipe</t>
  </si>
  <si>
    <t>400 Bad Request; validation errors returned; no database operation executed</t>
  </si>
  <si>
    <t>REG-011</t>
  </si>
  <si>
    <t xml:space="preserve">{
  "amount": 0,
  "paymentDate": "2026-10-28"
}</t>
  </si>
  <si>
    <t>400 Bad Request; zero or negative amount rejected</t>
  </si>
  <si>
    <t>Submit payment with amount 0</t>
  </si>
  <si>
    <t>400 Bad Request; 'amount must be a positive number'</t>
  </si>
  <si>
    <t>REG-012</t>
  </si>
  <si>
    <t>Recoverable ITC Claim with Missing Account 1300</t>
  </si>
  <si>
    <t>Expense with isItcEligible=true in tenant without Account 1300</t>
  </si>
  <si>
    <t>Fails safely with BusinessRuleViolationException ('MISSING_INPUT_TAX_ACCOUNT'); NEVER falls back to liability account 2020</t>
  </si>
  <si>
    <t>Simulate missing 1300 ASSET account during recoverable ITC claim</t>
  </si>
  <si>
    <t>expenses.service.ts resolveInputTaxAccount()</t>
  </si>
  <si>
    <t>Fails safely; throws MISSING_INPUT_TAX_ACCOUNT; liability accounts protected</t>
  </si>
  <si>
    <t>F-01</t>
  </si>
  <si>
    <t xml:space="preserve">  TexaWave ERP - Target Environment &amp; Test Execution Evidence</t>
  </si>
  <si>
    <t xml:space="preserve">  Verified Environment Configuration, Database Audit &amp; Runtime Proof  |  As of 29-Oct-26</t>
  </si>
  <si>
    <t>PARAMETER</t>
  </si>
  <si>
    <t>VALUE / CONFIGURATION</t>
  </si>
  <si>
    <t>VERIFIED STATUS &amp; EVIDENCE</t>
  </si>
  <si>
    <t>Backend API URL</t>
  </si>
  <si>
    <t>http://localhost:3000</t>
  </si>
  <si>
    <t>ONLINE — Responding HTTP 200 to /health with db: ok, redis: ok</t>
  </si>
  <si>
    <t>Frontend UI URL</t>
  </si>
  <si>
    <t>http://localhost:3001</t>
  </si>
  <si>
    <t>ONLINE — Next.js 15 App Router serving employee portal and finance workspaces</t>
  </si>
  <si>
    <t>Database Engine</t>
  </si>
  <si>
    <t>PostgreSQL 16 (localhost:5432)</t>
  </si>
  <si>
    <t>ONLINE — Database texawave_erp active with multi-tenant schemas (finance, hr, crm, scm)</t>
  </si>
  <si>
    <t>Tenant Organization</t>
  </si>
  <si>
    <t>Texawave Innovations (ID: 1, slug: texawave-innovations)</t>
  </si>
  <si>
    <t>Active test tenant; Chart of Accounts and Finance Master Lists loaded</t>
  </si>
  <si>
    <t>Super Admin User</t>
  </si>
  <si>
    <t>admin@texawave.com (User ID: 1)</t>
  </si>
  <si>
    <t>Super Admin (390 permissions) + HR Manager (95 permissions); authenticated successfully</t>
  </si>
  <si>
    <t>Employee User</t>
  </si>
  <si>
    <t>emp@texawave.com (User ID: 2)</t>
  </si>
  <si>
    <t>Employee role (39 permissions) with portal access; submits self-service claims</t>
  </si>
  <si>
    <t>HR Manager User</t>
  </si>
  <si>
    <t>asdasd@gmail.com (User ID: 4)</t>
  </si>
  <si>
    <t>HR Manager role with claim decision permissions; approves pending claims</t>
  </si>
  <si>
    <t>Bank Inflow Fix Verified</t>
  </si>
  <si>
    <t>REC-202610-0014 (Amount: ₹9000.00)</t>
  </si>
  <si>
    <t>Verified Bank Txn #33: Type CREDIT, Amount 9000, BalAfter 30342.22 on HDFC Bank (ID 1)</t>
  </si>
  <si>
    <t>Receipt Double-Entry JV</t>
  </si>
  <si>
    <t>JV-202610-0037 (Debit: ₹9000, Credit: ₹9000)</t>
  </si>
  <si>
    <t>Verified: Debit 1020 Bank Asset ₹9000, Credit 1200 Accounts Receivable ₹9000; Balanced</t>
  </si>
  <si>
    <t>Historical Claim Mapping 1</t>
  </si>
  <si>
    <t>Claim #1 [Travel] (₹25,000.00)</t>
  </si>
  <si>
    <t>Verified in DB: Converted to EXP-202610-0003 with category Travel &amp; Lodging (PAID)</t>
  </si>
  <si>
    <t>Historical Claim Mapping 2</t>
  </si>
  <si>
    <t>Claim #4 [Accommodation] (₹8,999.00)</t>
  </si>
  <si>
    <t>Verified in DB: Converted to EXP-202610-0010 with category Accommodation (PAID)</t>
  </si>
  <si>
    <t>Historical Claim Mapping 3</t>
  </si>
  <si>
    <t>Claim #3 [Travel] (₹1,500.00)</t>
  </si>
  <si>
    <t>Verified in DB: Converted to EXP-202610-0011 with category Travel &amp; Lodging (PAID)</t>
  </si>
  <si>
    <t>Historical Claim Mapping 4</t>
  </si>
  <si>
    <t>Claim #6 [Food] (₹1,000.00)</t>
  </si>
  <si>
    <t>Verified in DB: Converted to EXP-202610-0012 with category Food &amp; Meals (PAID)</t>
  </si>
  <si>
    <t>Historical Claim Mapping 5</t>
  </si>
  <si>
    <t>Claim #7 [Medical] (₹2,000.00)</t>
  </si>
  <si>
    <t>Verified in DB: Converted to EXP-202610-0013 with category Medical (PAID)</t>
  </si>
  <si>
    <t>Historical Claim Mapping 6</t>
  </si>
  <si>
    <t>Claim #8 [Medical] (₹5,000.00)</t>
  </si>
  <si>
    <t>Verified in DB: Converted to EXP-202610-0015 with category Medical (PAID)</t>
  </si>
  <si>
    <t>Automated Vitest Suites</t>
  </si>
  <si>
    <t>28 test files in apps/api</t>
  </si>
  <si>
    <t>350 of 350 tests passed (100% pass rate) in 14.84s (0 failed)</t>
  </si>
  <si>
    <t>Database &amp; Permissions</t>
  </si>
  <si>
    <t>packages/database test suite</t>
  </si>
  <si>
    <t>65 of 65 tests passed (100% pass rate) in 715ms (0 failed)</t>
  </si>
  <si>
    <t>TypeScript Compilation (UI)</t>
  </si>
  <si>
    <t>Exit code 0 — route types generated, zero TypeScript errors</t>
  </si>
  <si>
    <t>TypeScript Compilation (API)</t>
  </si>
  <si>
    <t>Exit code 0 — NestJS controller and service types verified (zero errors)</t>
  </si>
  <si>
    <t>Git Working Tree Integrity</t>
  </si>
  <si>
    <t>Exit code 0 — zero whitespace errors, clean line endings; all local changes preserved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</si>
</sst>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16" x14ac:knownFonts="1">
    <font>
      <color theme="1"/>
      <family val="2"/>
      <scheme val="minor"/>
      <sz val="11"/>
      <name val="Calibri"/>
    </font>
    <font>
      <b/>
      <color rgb="FFFFFF"/>
      <sz val="14"/>
      <name val="Arial"/>
    </font>
    <font>
      <i/>
      <color rgb="E2E8F0"/>
      <sz val="10"/>
      <name val="Arial"/>
    </font>
    <font>
      <b/>
      <color rgb="FFFFFF"/>
      <sz val="10"/>
      <name val="Arial"/>
    </font>
    <font>
      <b/>
      <color rgb="0A2540"/>
      <sz val="16"/>
      <name val="Arial"/>
    </font>
    <font>
      <b/>
      <color rgb="065F46"/>
      <sz val="16"/>
      <name val="Arial"/>
    </font>
    <font>
      <b/>
      <color rgb="991B1B"/>
      <sz val="16"/>
      <name val="Arial"/>
    </font>
    <font>
      <b/>
      <color rgb="FFFFFF"/>
      <sz val="11"/>
      <name val="Arial"/>
    </font>
    <font>
      <b/>
      <color rgb="FFFFFF"/>
      <sz val="9"/>
      <name val="Arial"/>
    </font>
    <font>
      <b/>
      <sz val="9"/>
      <name val="Arial"/>
    </font>
    <font>
      <sz val="9"/>
      <name val="Arial"/>
    </font>
    <font>
      <b/>
      <color rgb="065F46"/>
      <sz val="9"/>
      <name val="Arial"/>
    </font>
    <font>
      <b/>
      <color rgb="0A2540"/>
      <sz val="11"/>
      <name val="Arial"/>
    </font>
    <font>
      <b/>
      <color rgb="0A2540"/>
      <sz val="9"/>
      <name val="Arial"/>
    </font>
    <font>
      <color rgb="0A2540"/>
      <sz val="9"/>
      <name val="Arial"/>
    </font>
    <font>
      <color rgb="065F46"/>
      <sz val="9"/>
      <name val="Arial"/>
    </font>
  </fonts>
  <fills count="7">
    <fill>
      <patternFill patternType="none"/>
    </fill>
    <fill>
      <patternFill patternType="gray125"/>
    </fill>
    <fill>
      <patternFill patternType="solid">
        <fgColor rgb="0E3A70"/>
      </patternFill>
    </fill>
    <fill>
      <patternFill patternType="solid">
        <fgColor rgb="0A2540"/>
      </patternFill>
    </fill>
    <fill>
      <patternFill patternType="solid">
        <fgColor rgb="F8FAFC"/>
      </patternFill>
    </fill>
    <fill>
      <patternFill patternType="solid">
        <fgColor rgb="D1FAE5"/>
      </patternFill>
    </fill>
    <fill>
      <patternFill patternType="solid">
        <fgColor rgb="E2E8F0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164" fontId="5" fillId="5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9" fontId="10" fillId="0" borderId="1" xfId="0" applyNumberFormat="1" applyFont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/>
    </xf>
    <xf numFmtId="9" fontId="10" fillId="4" borderId="1" xfId="0" applyNumberFormat="1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left" vertical="center"/>
    </xf>
    <xf numFmtId="0" fontId="9" fillId="6" borderId="1" xfId="0" applyFont="1" applyFill="1" applyBorder="1" applyAlignment="1">
      <alignment horizontal="center" vertical="center"/>
    </xf>
    <xf numFmtId="164" fontId="9" fillId="6" borderId="1" xfId="0" applyNumberFormat="1" applyFont="1" applyFill="1" applyBorder="1" applyAlignment="1">
      <alignment horizontal="center" vertical="center"/>
    </xf>
    <xf numFmtId="9" fontId="9" fillId="6" borderId="1" xfId="0" applyNumberFormat="1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2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 wrapText="1"/>
    </xf>
    <xf numFmtId="0" fontId="13" fillId="0" borderId="0" xfId="0" applyFont="1" applyAlignment="1">
      <alignment horizontal="left" vertical="top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11" fillId="5" borderId="1" xfId="0" applyFont="1" applyFill="1" applyBorder="1" applyAlignment="1">
      <alignment horizontal="center" vertical="center" wrapText="1"/>
    </xf>
    <xf numFmtId="9" fontId="10" fillId="0" borderId="1" xfId="0" applyNumberFormat="1" applyFont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left" vertical="center" wrapText="1"/>
    </xf>
    <xf numFmtId="9" fontId="10" fillId="4" borderId="1" xfId="0" applyNumberFormat="1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  <xf numFmtId="0" fontId="14" fillId="4" borderId="1" xfId="0" applyFont="1" applyFill="1" applyBorder="1" applyAlignment="1">
      <alignment horizontal="left" vertical="center" wrapText="1"/>
    </xf>
    <xf numFmtId="0" fontId="15" fillId="4" borderId="1" xfId="0" applyFont="1" applyFill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workbookViewId="0"/>
  </sheetViews>
  <sheetFormatPr defaultRowHeight="15" outlineLevelRow="0" outlineLevelCol="0" x14ac:dyDescent="55"/>
  <cols>
    <col min="1" max="1" width="18" customWidth="1"/>
    <col min="2" max="4" width="14" customWidth="1"/>
    <col min="5" max="5" width="4" customWidth="1"/>
    <col min="6" max="6" width="32" customWidth="1"/>
    <col min="7" max="7" width="14" customWidth="1"/>
    <col min="8" max="8" width="18" customWidth="1"/>
    <col min="9" max="9" width="12" customWidth="1"/>
    <col min="10" max="10" width="14" customWidth="1"/>
    <col min="11" max="11" width="12" customWidth="1"/>
    <col min="12" max="12" width="16" customWidth="1"/>
  </cols>
  <sheetData>
    <row r="1" ht="36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10" customHeight="1" x14ac:dyDescent="0.25"/>
    <row r="4" ht="24" customHeight="1" spans="1:12" x14ac:dyDescent="0.25">
      <c r="A4" s="3" t="s">
        <v>2</v>
      </c>
      <c r="B4" s="3"/>
      <c r="C4" s="3" t="s">
        <v>3</v>
      </c>
      <c r="D4" s="3"/>
      <c r="E4" s="3" t="s">
        <v>4</v>
      </c>
      <c r="F4" s="3"/>
      <c r="G4" s="3" t="s">
        <v>5</v>
      </c>
      <c r="H4" s="3"/>
      <c r="I4" s="3" t="s">
        <v>6</v>
      </c>
      <c r="J4" s="3"/>
      <c r="K4" s="3" t="s">
        <v>7</v>
      </c>
      <c r="L4" s="3"/>
    </row>
    <row r="5" ht="36" customHeight="1" spans="1:12" x14ac:dyDescent="0.25">
      <c r="A5" s="4">
        <f>COUNTA('Employee Expense Claims'!$A$5:$A$14)+COUNTA('HR Expense Approval'!$A$5:$A$12)+COUNTA('Admin Claim Conversion'!$A$5:$A$12)+COUNTA('Finance Expenses'!$A$5:$A$16)+COUNTA('Expense Category Consistency'!$A$5:$A$12)+COUNTA('Expense Reimbursement'!$A$5:$A$10)+COUNTA('Payments Received'!$A$5:$A$16)+COUNTA('Payments Made'!$A$5:$A$14)+COUNTA('Bank Accounts'!$A$5:$A$12)+COUNTA('Bank Transactions'!$A$5:$A$12)+COUNTA('General Ledger &amp; Journal'!$A$5:$A$14)+COUNTA('GST &amp; Tax Integration'!$A$5:$A$14)+COUNTA('Chart of Accounts &amp; Reports'!$A$5:$A$12)+COUNTA('Browser UI Verification'!$A$5:$A$18)+COUNTA('Cross-Module End-to-End'!$A$5:$A$10)+COUNTA('Regression &amp; Negative Tests'!$A$5:$A$16)</f>
        <v>150</v>
      </c>
      <c r="B5" s="4"/>
      <c r="C5" s="5">
        <f>COUNTIF('Employee Expense Claims'!$H$5:$H$14,"Completed")+COUNTIF('Employee Expense Claims'!$H$5:$H$14,"PASS")+COUNTIF('HR Expense Approval'!$H$5:$H$12,"Completed")+COUNTIF('HR Expense Approval'!$H$5:$H$12,"PASS")+COUNTIF('Admin Claim Conversion'!$H$5:$H$12,"Completed")+COUNTIF('Admin Claim Conversion'!$H$5:$H$12,"PASS")+COUNTIF('Finance Expenses'!$H$5:$H$16,"Completed")+COUNTIF('Finance Expenses'!$H$5:$H$16,"PASS")+COUNTIF('Expense Category Consistency'!$H$5:$H$12,"Completed")+COUNTIF('Expense Category Consistency'!$H$5:$H$12,"PASS")+COUNTIF('Expense Reimbursement'!$H$5:$H$10,"Completed")+COUNTIF('Expense Reimbursement'!$H$5:$H$10,"PASS")+COUNTIF('Payments Received'!$H$5:$H$16,"Completed")+COUNTIF('Payments Received'!$H$5:$H$16,"PASS")+COUNTIF('Payments Made'!$H$5:$H$14,"Completed")+COUNTIF('Payments Made'!$H$5:$H$14,"PASS")+COUNTIF('Bank Accounts'!$H$5:$H$12,"Completed")+COUNTIF('Bank Accounts'!$H$5:$H$12,"PASS")+COUNTIF('Bank Transactions'!$H$5:$H$12,"Completed")+COUNTIF('Bank Transactions'!$H$5:$H$12,"PASS")+COUNTIF('General Ledger &amp; Journal'!$H$5:$H$14,"Completed")+COUNTIF('General Ledger &amp; Journal'!$H$5:$H$14,"PASS")+COUNTIF('GST &amp; Tax Integration'!$H$5:$H$14,"Completed")+COUNTIF('GST &amp; Tax Integration'!$H$5:$H$14,"PASS")+COUNTIF('Chart of Accounts &amp; Reports'!$H$5:$H$12,"Completed")+COUNTIF('Chart of Accounts &amp; Reports'!$H$5:$H$12,"PASS")+COUNTIF('Browser UI Verification'!$H$5:$H$18,"Completed")+COUNTIF('Browser UI Verification'!$H$5:$H$18,"PASS")+COUNTIF('Cross-Module End-to-End'!$H$5:$H$10,"Completed")+COUNTIF('Cross-Module End-to-End'!$H$5:$H$10,"PASS")+COUNTIF('Regression &amp; Negative Tests'!$H$5:$H$16,"Completed")+COUNTIF('Regression &amp; Negative Tests'!$H$5:$H$16,"PASS")</f>
        <v>150</v>
      </c>
      <c r="D5" s="5"/>
      <c r="E5" s="6">
        <f>IFERROR(AVERAGE('Employee Expense Claims'!$I$5:$I$14,'HR Expense Approval'!$I$5:$I$12,'Admin Claim Conversion'!$I$5:$I$12,'Finance Expenses'!$I$5:$I$16,'Expense Category Consistency'!$I$5:$I$12,'Expense Reimbursement'!$I$5:$I$10,'Payments Received'!$I$5:$I$16,'Payments Made'!$I$5:$I$14,'Bank Accounts'!$I$5:$I$12,'Bank Transactions'!$I$5:$I$12,'General Ledger &amp; Journal'!$I$5:$I$14,'GST &amp; Tax Integration'!$I$5:$I$14,'Chart of Accounts &amp; Reports'!$I$5:$I$12,'Browser UI Verification'!$I$5:$I$18,'Cross-Module End-to-End'!$I$5:$I$10,'Regression &amp; Negative Tests'!$I$5:$I$16),0)</f>
        <v>1</v>
      </c>
      <c r="F5" s="6"/>
      <c r="G5" s="7">
        <f>COUNTIF('Employee Expense Claims'!$H$5:$H$14,"Blocked")+COUNTIF('Employee Expense Claims'!$H$5:$H$14,"BLOCKED")+COUNTIF('HR Expense Approval'!$H$5:$H$12,"Blocked")+COUNTIF('HR Expense Approval'!$H$5:$H$12,"BLOCKED")+COUNTIF('Admin Claim Conversion'!$H$5:$H$12,"Blocked")+COUNTIF('Admin Claim Conversion'!$H$5:$H$12,"BLOCKED")+COUNTIF('Finance Expenses'!$H$5:$H$16,"Blocked")+COUNTIF('Finance Expenses'!$H$5:$H$16,"BLOCKED")+COUNTIF('Expense Category Consistency'!$H$5:$H$12,"Blocked")+COUNTIF('Expense Category Consistency'!$H$5:$H$12,"BLOCKED")+COUNTIF('Expense Reimbursement'!$H$5:$H$10,"Blocked")+COUNTIF('Expense Reimbursement'!$H$5:$H$10,"BLOCKED")+COUNTIF('Payments Received'!$H$5:$H$16,"Blocked")+COUNTIF('Payments Received'!$H$5:$H$16,"BLOCKED")+COUNTIF('Payments Made'!$H$5:$H$14,"Blocked")+COUNTIF('Payments Made'!$H$5:$H$14,"BLOCKED")+COUNTIF('Bank Accounts'!$H$5:$H$12,"Blocked")+COUNTIF('Bank Accounts'!$H$5:$H$12,"BLOCKED")+COUNTIF('Bank Transactions'!$H$5:$H$12,"Blocked")+COUNTIF('Bank Transactions'!$H$5:$H$12,"BLOCKED")+COUNTIF('General Ledger &amp; Journal'!$H$5:$H$14,"Blocked")+COUNTIF('General Ledger &amp; Journal'!$H$5:$H$14,"BLOCKED")+COUNTIF('GST &amp; Tax Integration'!$H$5:$H$14,"Blocked")+COUNTIF('GST &amp; Tax Integration'!$H$5:$H$14,"BLOCKED")+COUNTIF('Chart of Accounts &amp; Reports'!$H$5:$H$12,"Blocked")+COUNTIF('Chart of Accounts &amp; Reports'!$H$5:$H$12,"BLOCKED")+COUNTIF('Browser UI Verification'!$H$5:$H$18,"Blocked")+COUNTIF('Browser UI Verification'!$H$5:$H$18,"BLOCKED")+COUNTIF('Cross-Module End-to-End'!$H$5:$H$10,"Blocked")+COUNTIF('Cross-Module End-to-End'!$H$5:$H$10,"BLOCKED")+COUNTIF('Regression &amp; Negative Tests'!$H$5:$H$16,"Blocked")+COUNTIF('Regression &amp; Negative Tests'!$H$5:$H$16,"BLOCKED")</f>
        <v>0</v>
      </c>
      <c r="H5" s="7"/>
      <c r="I5" s="7">
        <f>COUNTIF('Employee Expense Claims'!$H$5:$H$14,"Need to Discuss")+COUNTIF('Employee Expense Claims'!$H$5:$H$14,"FAIL")+COUNTIF('HR Expense Approval'!$H$5:$H$12,"Need to Discuss")+COUNTIF('HR Expense Approval'!$H$5:$H$12,"FAIL")+COUNTIF('Admin Claim Conversion'!$H$5:$H$12,"Need to Discuss")+COUNTIF('Admin Claim Conversion'!$H$5:$H$12,"FAIL")+COUNTIF('Finance Expenses'!$H$5:$H$16,"Need to Discuss")+COUNTIF('Finance Expenses'!$H$5:$H$16,"FAIL")+COUNTIF('Expense Category Consistency'!$H$5:$H$12,"Need to Discuss")+COUNTIF('Expense Category Consistency'!$H$5:$H$12,"FAIL")+COUNTIF('Expense Reimbursement'!$H$5:$H$10,"Need to Discuss")+COUNTIF('Expense Reimbursement'!$H$5:$H$10,"FAIL")+COUNTIF('Payments Received'!$H$5:$H$16,"Need to Discuss")+COUNTIF('Payments Received'!$H$5:$H$16,"FAIL")+COUNTIF('Payments Made'!$H$5:$H$14,"Need to Discuss")+COUNTIF('Payments Made'!$H$5:$H$14,"FAIL")+COUNTIF('Bank Accounts'!$H$5:$H$12,"Need to Discuss")+COUNTIF('Bank Accounts'!$H$5:$H$12,"FAIL")+COUNTIF('Bank Transactions'!$H$5:$H$12,"Need to Discuss")+COUNTIF('Bank Transactions'!$H$5:$H$12,"FAIL")+COUNTIF('General Ledger &amp; Journal'!$H$5:$H$14,"Need to Discuss")+COUNTIF('General Ledger &amp; Journal'!$H$5:$H$14,"FAIL")+COUNTIF('GST &amp; Tax Integration'!$H$5:$H$14,"Need to Discuss")+COUNTIF('GST &amp; Tax Integration'!$H$5:$H$14,"FAIL")+COUNTIF('Chart of Accounts &amp; Reports'!$H$5:$H$12,"Need to Discuss")+COUNTIF('Chart of Accounts &amp; Reports'!$H$5:$H$12,"FAIL")+COUNTIF('Browser UI Verification'!$H$5:$H$18,"Need to Discuss")+COUNTIF('Browser UI Verification'!$H$5:$H$18,"FAIL")+COUNTIF('Cross-Module End-to-End'!$H$5:$H$10,"Need to Discuss")+COUNTIF('Cross-Module End-to-End'!$H$5:$H$10,"FAIL")+COUNTIF('Regression &amp; Negative Tests'!$H$5:$H$16,"Need to Discuss")+COUNTIF('Regression &amp; Negative Tests'!$H$5:$H$16,"FAIL")</f>
        <v>0</v>
      </c>
      <c r="J5" s="7"/>
      <c r="K5" s="4">
        <f>COUNTIF('Employee Expense Claims'!$H$5:$H$14,"Pending")+COUNTIF('Employee Expense Claims'!$H$5:$H$14,"PENDING")+COUNTIF('HR Expense Approval'!$H$5:$H$12,"Pending")+COUNTIF('HR Expense Approval'!$H$5:$H$12,"PENDING")+COUNTIF('Admin Claim Conversion'!$H$5:$H$12,"Pending")+COUNTIF('Admin Claim Conversion'!$H$5:$H$12,"PENDING")+COUNTIF('Finance Expenses'!$H$5:$H$16,"Pending")+COUNTIF('Finance Expenses'!$H$5:$H$16,"PENDING")+COUNTIF('Expense Category Consistency'!$H$5:$H$12,"Pending")+COUNTIF('Expense Category Consistency'!$H$5:$H$12,"PENDING")+COUNTIF('Expense Reimbursement'!$H$5:$H$10,"Pending")+COUNTIF('Expense Reimbursement'!$H$5:$H$10,"PENDING")+COUNTIF('Payments Received'!$H$5:$H$16,"Pending")+COUNTIF('Payments Received'!$H$5:$H$16,"PENDING")+COUNTIF('Payments Made'!$H$5:$H$14,"Pending")+COUNTIF('Payments Made'!$H$5:$H$14,"PENDING")+COUNTIF('Bank Accounts'!$H$5:$H$12,"Pending")+COUNTIF('Bank Accounts'!$H$5:$H$12,"PENDING")+COUNTIF('Bank Transactions'!$H$5:$H$12,"Pending")+COUNTIF('Bank Transactions'!$H$5:$H$12,"PENDING")+COUNTIF('General Ledger &amp; Journal'!$H$5:$H$14,"Pending")+COUNTIF('General Ledger &amp; Journal'!$H$5:$H$14,"PENDING")+COUNTIF('GST &amp; Tax Integration'!$H$5:$H$14,"Pending")+COUNTIF('GST &amp; Tax Integration'!$H$5:$H$14,"PENDING")+COUNTIF('Chart of Accounts &amp; Reports'!$H$5:$H$12,"Pending")+COUNTIF('Chart of Accounts &amp; Reports'!$H$5:$H$12,"PENDING")+COUNTIF('Browser UI Verification'!$H$5:$H$18,"Pending")+COUNTIF('Browser UI Verification'!$H$5:$H$18,"PENDING")+COUNTIF('Cross-Module End-to-End'!$H$5:$H$10,"Pending")+COUNTIF('Cross-Module End-to-End'!$H$5:$H$10,"PENDING")+COUNTIF('Regression &amp; Negative Tests'!$H$5:$H$16,"Pending")+COUNTIF('Regression &amp; Negative Tests'!$H$5:$H$16,"PENDING")</f>
        <v>0</v>
      </c>
      <c r="L5" s="4"/>
    </row>
    <row r="6" ht="12" customHeight="1" x14ac:dyDescent="0.25"/>
    <row r="7" ht="24" customHeight="1" spans="1:12" x14ac:dyDescent="0.25">
      <c r="A7" s="8" t="s">
        <v>8</v>
      </c>
      <c r="B7" s="8"/>
      <c r="C7" s="8"/>
      <c r="D7" s="8"/>
      <c r="F7" s="8" t="s">
        <v>9</v>
      </c>
      <c r="G7" s="8"/>
      <c r="H7" s="8"/>
      <c r="I7" s="8"/>
      <c r="J7" s="8"/>
      <c r="K7" s="8"/>
      <c r="L7" s="8"/>
    </row>
    <row r="8" ht="22" customHeight="1" spans="1:12" x14ac:dyDescent="0.25">
      <c r="A8" s="9" t="s">
        <v>10</v>
      </c>
      <c r="B8" s="10" t="s">
        <v>11</v>
      </c>
      <c r="C8" s="10" t="s">
        <v>12</v>
      </c>
      <c r="D8" s="10" t="s">
        <v>13</v>
      </c>
      <c r="F8" s="9" t="s">
        <v>14</v>
      </c>
      <c r="G8" s="10" t="s">
        <v>2</v>
      </c>
      <c r="H8" s="10" t="s">
        <v>15</v>
      </c>
      <c r="I8" s="10" t="s">
        <v>7</v>
      </c>
      <c r="J8" s="10" t="s">
        <v>16</v>
      </c>
      <c r="K8" s="10" t="s">
        <v>17</v>
      </c>
      <c r="L8" s="10" t="s">
        <v>10</v>
      </c>
    </row>
    <row r="9" ht="20" customHeight="1" spans="1:12" x14ac:dyDescent="0.25">
      <c r="A9" s="11" t="s">
        <v>18</v>
      </c>
      <c r="B9" s="12">
        <f>COUNTIF('Employee Expense Claims'!$H$5:$H$14,"Completed")+COUNTIF('Employee Expense Claims'!$H$5:$H$14,"PASS")+COUNTIF('HR Expense Approval'!$H$5:$H$12,"Completed")+COUNTIF('HR Expense Approval'!$H$5:$H$12,"PASS")+COUNTIF('Admin Claim Conversion'!$H$5:$H$12,"Completed")+COUNTIF('Admin Claim Conversion'!$H$5:$H$12,"PASS")+COUNTIF('Finance Expenses'!$H$5:$H$16,"Completed")+COUNTIF('Finance Expenses'!$H$5:$H$16,"PASS")+COUNTIF('Expense Category Consistency'!$H$5:$H$12,"Completed")+COUNTIF('Expense Category Consistency'!$H$5:$H$12,"PASS")+COUNTIF('Expense Reimbursement'!$H$5:$H$10,"Completed")+COUNTIF('Expense Reimbursement'!$H$5:$H$10,"PASS")+COUNTIF('Payments Received'!$H$5:$H$16,"Completed")+COUNTIF('Payments Received'!$H$5:$H$16,"PASS")+COUNTIF('Payments Made'!$H$5:$H$14,"Completed")+COUNTIF('Payments Made'!$H$5:$H$14,"PASS")+COUNTIF('Bank Accounts'!$H$5:$H$12,"Completed")+COUNTIF('Bank Accounts'!$H$5:$H$12,"PASS")+COUNTIF('Bank Transactions'!$H$5:$H$12,"Completed")+COUNTIF('Bank Transactions'!$H$5:$H$12,"PASS")+COUNTIF('General Ledger &amp; Journal'!$H$5:$H$14,"Completed")+COUNTIF('General Ledger &amp; Journal'!$H$5:$H$14,"PASS")+COUNTIF('GST &amp; Tax Integration'!$H$5:$H$14,"Completed")+COUNTIF('GST &amp; Tax Integration'!$H$5:$H$14,"PASS")+COUNTIF('Chart of Accounts &amp; Reports'!$H$5:$H$12,"Completed")+COUNTIF('Chart of Accounts &amp; Reports'!$H$5:$H$12,"PASS")+COUNTIF('Browser UI Verification'!$H$5:$H$18,"Completed")+COUNTIF('Browser UI Verification'!$H$5:$H$18,"PASS")+COUNTIF('Cross-Module End-to-End'!$H$5:$H$10,"Completed")+COUNTIF('Cross-Module End-to-End'!$H$5:$H$10,"PASS")+COUNTIF('Regression &amp; Negative Tests'!$H$5:$H$16,"Completed")+COUNTIF('Regression &amp; Negative Tests'!$H$5:$H$16,"PASS")</f>
        <v>150</v>
      </c>
      <c r="C9" s="13">
        <f>IFERROR(B9/$A$5,0)</f>
        <v>1</v>
      </c>
      <c r="D9" s="12">
        <f>IF(A9="Completed",B9,IF(A9="In Progress",B9*0.5,0))</f>
        <v>150</v>
      </c>
      <c r="F9" s="14" t="s">
        <v>19</v>
      </c>
      <c r="G9" s="12">
        <f>COUNTA('Employee Expense Claims'!$A$5:$A$14)</f>
        <v>10</v>
      </c>
      <c r="H9" s="12">
        <f>COUNTIF('Employee Expense Claims'!$H$5:$H$14,"Completed")+COUNTIF('Employee Expense Claims'!$H$5:$H$14,"PASS")</f>
        <v>10</v>
      </c>
      <c r="I9" s="12">
        <f>COUNTIF('Employee Expense Claims'!$H$5:$H$14,"Pending")+COUNTIF('Employee Expense Claims'!$H$5:$H$14,"PENDING")</f>
        <v>0</v>
      </c>
      <c r="J9" s="12">
        <f>COUNTIF('Employee Expense Claims'!$H$5:$H$14,"Blocked")+COUNTIF('Employee Expense Claims'!$H$5:$H$14,"FAIL")</f>
        <v>0</v>
      </c>
      <c r="K9" s="15">
        <f>IFERROR(H9/G9,0)</f>
        <v>1</v>
      </c>
      <c r="L9" s="16" t="str">
        <f>IF(H9=G9,"Completed",IF(J9&gt;0,"Blocked",IF(H9&gt;0,"In Progress","Pending")))</f>
        <v>Completed</v>
      </c>
    </row>
    <row r="10" ht="20" customHeight="1" spans="1:12" x14ac:dyDescent="0.25">
      <c r="A10" s="11" t="s">
        <v>20</v>
      </c>
      <c r="B10" s="12">
        <f>0</f>
        <v>0</v>
      </c>
      <c r="C10" s="13">
        <f>IFERROR(B10/$A$5,0)</f>
        <v>0</v>
      </c>
      <c r="D10" s="12">
        <f>IF(A10="Completed",B10,IF(A10="In Progress",B10*0.5,0))</f>
        <v>0</v>
      </c>
      <c r="F10" s="17" t="s">
        <v>21</v>
      </c>
      <c r="G10" s="18">
        <f>COUNTA('HR Expense Approval'!$A$5:$A$12)</f>
        <v>8</v>
      </c>
      <c r="H10" s="18">
        <f>COUNTIF('HR Expense Approval'!$H$5:$H$12,"Completed")+COUNTIF('HR Expense Approval'!$H$5:$H$12,"PASS")</f>
        <v>8</v>
      </c>
      <c r="I10" s="18">
        <f>COUNTIF('HR Expense Approval'!$H$5:$H$12,"Pending")+COUNTIF('HR Expense Approval'!$H$5:$H$12,"PENDING")</f>
        <v>0</v>
      </c>
      <c r="J10" s="18">
        <f>COUNTIF('HR Expense Approval'!$H$5:$H$12,"Blocked")+COUNTIF('HR Expense Approval'!$H$5:$H$12,"FAIL")</f>
        <v>0</v>
      </c>
      <c r="K10" s="19">
        <f>IFERROR(H10/G10,0)</f>
        <v>1</v>
      </c>
      <c r="L10" s="16" t="str">
        <f>IF(H10=G10,"Completed",IF(J10&gt;0,"Blocked",IF(H10&gt;0,"In Progress","Pending")))</f>
        <v>Completed</v>
      </c>
    </row>
    <row r="11" ht="20" customHeight="1" spans="1:12" x14ac:dyDescent="0.25">
      <c r="A11" s="11" t="s">
        <v>7</v>
      </c>
      <c r="B11" s="12">
        <f>COUNTIF('Employee Expense Claims'!$H$5:$H$14,"Pending")+COUNTIF('Employee Expense Claims'!$H$5:$H$14,"PENDING")+COUNTIF('HR Expense Approval'!$H$5:$H$12,"Pending")+COUNTIF('HR Expense Approval'!$H$5:$H$12,"PENDING")+COUNTIF('Admin Claim Conversion'!$H$5:$H$12,"Pending")+COUNTIF('Admin Claim Conversion'!$H$5:$H$12,"PENDING")+COUNTIF('Finance Expenses'!$H$5:$H$16,"Pending")+COUNTIF('Finance Expenses'!$H$5:$H$16,"PENDING")+COUNTIF('Expense Category Consistency'!$H$5:$H$12,"Pending")+COUNTIF('Expense Category Consistency'!$H$5:$H$12,"PENDING")+COUNTIF('Expense Reimbursement'!$H$5:$H$10,"Pending")+COUNTIF('Expense Reimbursement'!$H$5:$H$10,"PENDING")+COUNTIF('Payments Received'!$H$5:$H$16,"Pending")+COUNTIF('Payments Received'!$H$5:$H$16,"PENDING")+COUNTIF('Payments Made'!$H$5:$H$14,"Pending")+COUNTIF('Payments Made'!$H$5:$H$14,"PENDING")+COUNTIF('Bank Accounts'!$H$5:$H$12,"Pending")+COUNTIF('Bank Accounts'!$H$5:$H$12,"PENDING")+COUNTIF('Bank Transactions'!$H$5:$H$12,"Pending")+COUNTIF('Bank Transactions'!$H$5:$H$12,"PENDING")+COUNTIF('General Ledger &amp; Journal'!$H$5:$H$14,"Pending")+COUNTIF('General Ledger &amp; Journal'!$H$5:$H$14,"PENDING")+COUNTIF('GST &amp; Tax Integration'!$H$5:$H$14,"Pending")+COUNTIF('GST &amp; Tax Integration'!$H$5:$H$14,"PENDING")+COUNTIF('Chart of Accounts &amp; Reports'!$H$5:$H$12,"Pending")+COUNTIF('Chart of Accounts &amp; Reports'!$H$5:$H$12,"PENDING")+COUNTIF('Browser UI Verification'!$H$5:$H$18,"Pending")+COUNTIF('Browser UI Verification'!$H$5:$H$18,"PENDING")+COUNTIF('Cross-Module End-to-End'!$H$5:$H$10,"Pending")+COUNTIF('Cross-Module End-to-End'!$H$5:$H$10,"PENDING")+COUNTIF('Regression &amp; Negative Tests'!$H$5:$H$16,"Pending")+COUNTIF('Regression &amp; Negative Tests'!$H$5:$H$16,"PENDING")</f>
        <v>0</v>
      </c>
      <c r="C11" s="13">
        <f>IFERROR(B11/$A$5,0)</f>
        <v>0</v>
      </c>
      <c r="D11" s="12">
        <f>IF(A11="Completed",B11,IF(A11="In Progress",B11*0.5,0))</f>
        <v>0</v>
      </c>
      <c r="F11" s="14" t="s">
        <v>22</v>
      </c>
      <c r="G11" s="12">
        <f>COUNTA('Admin Claim Conversion'!$A$5:$A$12)</f>
        <v>8</v>
      </c>
      <c r="H11" s="12">
        <f>COUNTIF('Admin Claim Conversion'!$H$5:$H$12,"Completed")+COUNTIF('Admin Claim Conversion'!$H$5:$H$12,"PASS")</f>
        <v>8</v>
      </c>
      <c r="I11" s="12">
        <f>COUNTIF('Admin Claim Conversion'!$H$5:$H$12,"Pending")+COUNTIF('Admin Claim Conversion'!$H$5:$H$12,"PENDING")</f>
        <v>0</v>
      </c>
      <c r="J11" s="12">
        <f>COUNTIF('Admin Claim Conversion'!$H$5:$H$12,"Blocked")+COUNTIF('Admin Claim Conversion'!$H$5:$H$12,"FAIL")</f>
        <v>0</v>
      </c>
      <c r="K11" s="15">
        <f>IFERROR(H11/G11,0)</f>
        <v>1</v>
      </c>
      <c r="L11" s="16" t="str">
        <f>IF(H11=G11,"Completed",IF(J11&gt;0,"Blocked",IF(H11&gt;0,"In Progress","Pending")))</f>
        <v>Completed</v>
      </c>
    </row>
    <row r="12" ht="20" customHeight="1" spans="1:12" x14ac:dyDescent="0.25">
      <c r="A12" s="11" t="s">
        <v>5</v>
      </c>
      <c r="B12" s="12">
        <f>COUNTIF('Employee Expense Claims'!$H$5:$H$14,"Blocked")+COUNTIF('Employee Expense Claims'!$H$5:$H$14,"BLOCKED")+COUNTIF('HR Expense Approval'!$H$5:$H$12,"Blocked")+COUNTIF('HR Expense Approval'!$H$5:$H$12,"BLOCKED")+COUNTIF('Admin Claim Conversion'!$H$5:$H$12,"Blocked")+COUNTIF('Admin Claim Conversion'!$H$5:$H$12,"BLOCKED")+COUNTIF('Finance Expenses'!$H$5:$H$16,"Blocked")+COUNTIF('Finance Expenses'!$H$5:$H$16,"BLOCKED")+COUNTIF('Expense Category Consistency'!$H$5:$H$12,"Blocked")+COUNTIF('Expense Category Consistency'!$H$5:$H$12,"BLOCKED")+COUNTIF('Expense Reimbursement'!$H$5:$H$10,"Blocked")+COUNTIF('Expense Reimbursement'!$H$5:$H$10,"BLOCKED")+COUNTIF('Payments Received'!$H$5:$H$16,"Blocked")+COUNTIF('Payments Received'!$H$5:$H$16,"BLOCKED")+COUNTIF('Payments Made'!$H$5:$H$14,"Blocked")+COUNTIF('Payments Made'!$H$5:$H$14,"BLOCKED")+COUNTIF('Bank Accounts'!$H$5:$H$12,"Blocked")+COUNTIF('Bank Accounts'!$H$5:$H$12,"BLOCKED")+COUNTIF('Bank Transactions'!$H$5:$H$12,"Blocked")+COUNTIF('Bank Transactions'!$H$5:$H$12,"BLOCKED")+COUNTIF('General Ledger &amp; Journal'!$H$5:$H$14,"Blocked")+COUNTIF('General Ledger &amp; Journal'!$H$5:$H$14,"BLOCKED")+COUNTIF('GST &amp; Tax Integration'!$H$5:$H$14,"Blocked")+COUNTIF('GST &amp; Tax Integration'!$H$5:$H$14,"BLOCKED")+COUNTIF('Chart of Accounts &amp; Reports'!$H$5:$H$12,"Blocked")+COUNTIF('Chart of Accounts &amp; Reports'!$H$5:$H$12,"BLOCKED")+COUNTIF('Browser UI Verification'!$H$5:$H$18,"Blocked")+COUNTIF('Browser UI Verification'!$H$5:$H$18,"BLOCKED")+COUNTIF('Cross-Module End-to-End'!$H$5:$H$10,"Blocked")+COUNTIF('Cross-Module End-to-End'!$H$5:$H$10,"BLOCKED")+COUNTIF('Regression &amp; Negative Tests'!$H$5:$H$16,"Blocked")+COUNTIF('Regression &amp; Negative Tests'!$H$5:$H$16,"BLOCKED")</f>
        <v>0</v>
      </c>
      <c r="C12" s="13">
        <f>IFERROR(B12/$A$5,0)</f>
        <v>0</v>
      </c>
      <c r="D12" s="12">
        <f>IF(A12="Completed",B12,IF(A12="In Progress",B12*0.5,0))</f>
        <v>0</v>
      </c>
      <c r="F12" s="17" t="s">
        <v>23</v>
      </c>
      <c r="G12" s="18">
        <f>COUNTA('Finance Expenses'!$A$5:$A$16)</f>
        <v>12</v>
      </c>
      <c r="H12" s="18">
        <f>COUNTIF('Finance Expenses'!$H$5:$H$16,"Completed")+COUNTIF('Finance Expenses'!$H$5:$H$16,"PASS")</f>
        <v>12</v>
      </c>
      <c r="I12" s="18">
        <f>COUNTIF('Finance Expenses'!$H$5:$H$16,"Pending")+COUNTIF('Finance Expenses'!$H$5:$H$16,"PENDING")</f>
        <v>0</v>
      </c>
      <c r="J12" s="18">
        <f>COUNTIF('Finance Expenses'!$H$5:$H$16,"Blocked")+COUNTIF('Finance Expenses'!$H$5:$H$16,"FAIL")</f>
        <v>0</v>
      </c>
      <c r="K12" s="19">
        <f>IFERROR(H12/G12,0)</f>
        <v>1</v>
      </c>
      <c r="L12" s="16" t="str">
        <f>IF(H12=G12,"Completed",IF(J12&gt;0,"Blocked",IF(H12&gt;0,"In Progress","Pending")))</f>
        <v>Completed</v>
      </c>
    </row>
    <row r="13" ht="20" customHeight="1" spans="1:12" x14ac:dyDescent="0.25">
      <c r="A13" s="11" t="s">
        <v>24</v>
      </c>
      <c r="B13" s="12">
        <f>COUNTIF('Employee Expense Claims'!$H$5:$H$14,"Need to Discuss")+COUNTIF('Employee Expense Claims'!$H$5:$H$14,"FAIL")+COUNTIF('HR Expense Approval'!$H$5:$H$12,"Need to Discuss")+COUNTIF('HR Expense Approval'!$H$5:$H$12,"FAIL")+COUNTIF('Admin Claim Conversion'!$H$5:$H$12,"Need to Discuss")+COUNTIF('Admin Claim Conversion'!$H$5:$H$12,"FAIL")+COUNTIF('Finance Expenses'!$H$5:$H$16,"Need to Discuss")+COUNTIF('Finance Expenses'!$H$5:$H$16,"FAIL")+COUNTIF('Expense Category Consistency'!$H$5:$H$12,"Need to Discuss")+COUNTIF('Expense Category Consistency'!$H$5:$H$12,"FAIL")+COUNTIF('Expense Reimbursement'!$H$5:$H$10,"Need to Discuss")+COUNTIF('Expense Reimbursement'!$H$5:$H$10,"FAIL")+COUNTIF('Payments Received'!$H$5:$H$16,"Need to Discuss")+COUNTIF('Payments Received'!$H$5:$H$16,"FAIL")+COUNTIF('Payments Made'!$H$5:$H$14,"Need to Discuss")+COUNTIF('Payments Made'!$H$5:$H$14,"FAIL")+COUNTIF('Bank Accounts'!$H$5:$H$12,"Need to Discuss")+COUNTIF('Bank Accounts'!$H$5:$H$12,"FAIL")+COUNTIF('Bank Transactions'!$H$5:$H$12,"Need to Discuss")+COUNTIF('Bank Transactions'!$H$5:$H$12,"FAIL")+COUNTIF('General Ledger &amp; Journal'!$H$5:$H$14,"Need to Discuss")+COUNTIF('General Ledger &amp; Journal'!$H$5:$H$14,"FAIL")+COUNTIF('GST &amp; Tax Integration'!$H$5:$H$14,"Need to Discuss")+COUNTIF('GST &amp; Tax Integration'!$H$5:$H$14,"FAIL")+COUNTIF('Chart of Accounts &amp; Reports'!$H$5:$H$12,"Need to Discuss")+COUNTIF('Chart of Accounts &amp; Reports'!$H$5:$H$12,"FAIL")+COUNTIF('Browser UI Verification'!$H$5:$H$18,"Need to Discuss")+COUNTIF('Browser UI Verification'!$H$5:$H$18,"FAIL")+COUNTIF('Cross-Module End-to-End'!$H$5:$H$10,"Need to Discuss")+COUNTIF('Cross-Module End-to-End'!$H$5:$H$10,"FAIL")+COUNTIF('Regression &amp; Negative Tests'!$H$5:$H$16,"Need to Discuss")+COUNTIF('Regression &amp; Negative Tests'!$H$5:$H$16,"FAIL")</f>
        <v>0</v>
      </c>
      <c r="C13" s="13">
        <f>IFERROR(B13/$A$5,0)</f>
        <v>0</v>
      </c>
      <c r="D13" s="12">
        <f>IF(A13="Completed",B13,IF(A13="In Progress",B13*0.5,0))</f>
        <v>0</v>
      </c>
      <c r="F13" s="14" t="s">
        <v>25</v>
      </c>
      <c r="G13" s="12">
        <f>COUNTA('Expense Category Consistency'!$A$5:$A$12)</f>
        <v>8</v>
      </c>
      <c r="H13" s="12">
        <f>COUNTIF('Expense Category Consistency'!$H$5:$H$12,"Completed")+COUNTIF('Expense Category Consistency'!$H$5:$H$12,"PASS")</f>
        <v>8</v>
      </c>
      <c r="I13" s="12">
        <f>COUNTIF('Expense Category Consistency'!$H$5:$H$12,"Pending")+COUNTIF('Expense Category Consistency'!$H$5:$H$12,"PENDING")</f>
        <v>0</v>
      </c>
      <c r="J13" s="12">
        <f>COUNTIF('Expense Category Consistency'!$H$5:$H$12,"Blocked")+COUNTIF('Expense Category Consistency'!$H$5:$H$12,"FAIL")</f>
        <v>0</v>
      </c>
      <c r="K13" s="15">
        <f>IFERROR(H13/G13,0)</f>
        <v>1</v>
      </c>
      <c r="L13" s="16" t="str">
        <f>IF(H13=G13,"Completed",IF(J13&gt;0,"Blocked",IF(H13&gt;0,"In Progress","Pending")))</f>
        <v>Completed</v>
      </c>
    </row>
    <row r="14" ht="20" customHeight="1" spans="1:12" x14ac:dyDescent="0.25">
      <c r="A14" s="11" t="s">
        <v>26</v>
      </c>
      <c r="B14" s="12">
        <f>0</f>
        <v>0</v>
      </c>
      <c r="C14" s="13">
        <f>IFERROR(B14/$A$5,0)</f>
        <v>0</v>
      </c>
      <c r="D14" s="12">
        <f>IF(A14="Completed",B14,IF(A14="In Progress",B14*0.5,0))</f>
        <v>0</v>
      </c>
      <c r="F14" s="17" t="s">
        <v>27</v>
      </c>
      <c r="G14" s="18">
        <f>COUNTA('Expense Reimbursement'!$A$5:$A$10)</f>
        <v>6</v>
      </c>
      <c r="H14" s="18">
        <f>COUNTIF('Expense Reimbursement'!$H$5:$H$10,"Completed")+COUNTIF('Expense Reimbursement'!$H$5:$H$10,"PASS")</f>
        <v>6</v>
      </c>
      <c r="I14" s="18">
        <f>COUNTIF('Expense Reimbursement'!$H$5:$H$10,"Pending")+COUNTIF('Expense Reimbursement'!$H$5:$H$10,"PENDING")</f>
        <v>0</v>
      </c>
      <c r="J14" s="18">
        <f>COUNTIF('Expense Reimbursement'!$H$5:$H$10,"Blocked")+COUNTIF('Expense Reimbursement'!$H$5:$H$10,"FAIL")</f>
        <v>0</v>
      </c>
      <c r="K14" s="19">
        <f>IFERROR(H14/G14,0)</f>
        <v>1</v>
      </c>
      <c r="L14" s="16" t="str">
        <f>IF(H14=G14,"Completed",IF(J14&gt;0,"Blocked",IF(H14&gt;0,"In Progress","Pending")))</f>
        <v>Completed</v>
      </c>
    </row>
    <row r="15" ht="20" customHeight="1" spans="1:12" x14ac:dyDescent="0.25">
      <c r="A15" s="20" t="s">
        <v>28</v>
      </c>
      <c r="B15" s="21">
        <f>SUM(B9:B14)</f>
        <v>150</v>
      </c>
      <c r="C15" s="22">
        <f>SUM(C9:C14)</f>
        <v>1</v>
      </c>
      <c r="D15" s="21">
        <f>SUM(D9:D14)</f>
        <v>150</v>
      </c>
      <c r="F15" s="14" t="s">
        <v>29</v>
      </c>
      <c r="G15" s="12">
        <f>COUNTA('Payments Received'!$A$5:$A$16)</f>
        <v>12</v>
      </c>
      <c r="H15" s="12">
        <f>COUNTIF('Payments Received'!$H$5:$H$16,"Completed")+COUNTIF('Payments Received'!$H$5:$H$16,"PASS")</f>
        <v>12</v>
      </c>
      <c r="I15" s="12">
        <f>COUNTIF('Payments Received'!$H$5:$H$16,"Pending")+COUNTIF('Payments Received'!$H$5:$H$16,"PENDING")</f>
        <v>0</v>
      </c>
      <c r="J15" s="12">
        <f>COUNTIF('Payments Received'!$H$5:$H$16,"Blocked")+COUNTIF('Payments Received'!$H$5:$H$16,"FAIL")</f>
        <v>0</v>
      </c>
      <c r="K15" s="15">
        <f>IFERROR(H15/G15,0)</f>
        <v>1</v>
      </c>
      <c r="L15" s="16" t="str">
        <f>IF(H15=G15,"Completed",IF(J15&gt;0,"Blocked",IF(H15&gt;0,"In Progress","Pending")))</f>
        <v>Completed</v>
      </c>
    </row>
    <row r="16" ht="20" customHeight="1" spans="6:12" x14ac:dyDescent="0.25">
      <c r="F16" s="17" t="s">
        <v>30</v>
      </c>
      <c r="G16" s="18">
        <f>COUNTA('Payments Made'!$A$5:$A$14)</f>
        <v>10</v>
      </c>
      <c r="H16" s="18">
        <f>COUNTIF('Payments Made'!$H$5:$H$14,"Completed")+COUNTIF('Payments Made'!$H$5:$H$14,"PASS")</f>
        <v>10</v>
      </c>
      <c r="I16" s="18">
        <f>COUNTIF('Payments Made'!$H$5:$H$14,"Pending")+COUNTIF('Payments Made'!$H$5:$H$14,"PENDING")</f>
        <v>0</v>
      </c>
      <c r="J16" s="18">
        <f>COUNTIF('Payments Made'!$H$5:$H$14,"Blocked")+COUNTIF('Payments Made'!$H$5:$H$14,"FAIL")</f>
        <v>0</v>
      </c>
      <c r="K16" s="19">
        <f>IFERROR(H16/G16,0)</f>
        <v>1</v>
      </c>
      <c r="L16" s="16" t="str">
        <f>IF(H16=G16,"Completed",IF(J16&gt;0,"Blocked",IF(H16&gt;0,"In Progress","Pending")))</f>
        <v>Completed</v>
      </c>
    </row>
    <row r="17" ht="20" customHeight="1" spans="6:12" x14ac:dyDescent="0.25">
      <c r="F17" s="14" t="s">
        <v>31</v>
      </c>
      <c r="G17" s="12">
        <f>COUNTA('Bank Accounts'!$A$5:$A$12)</f>
        <v>8</v>
      </c>
      <c r="H17" s="12">
        <f>COUNTIF('Bank Accounts'!$H$5:$H$12,"Completed")+COUNTIF('Bank Accounts'!$H$5:$H$12,"PASS")</f>
        <v>8</v>
      </c>
      <c r="I17" s="12">
        <f>COUNTIF('Bank Accounts'!$H$5:$H$12,"Pending")+COUNTIF('Bank Accounts'!$H$5:$H$12,"PENDING")</f>
        <v>0</v>
      </c>
      <c r="J17" s="12">
        <f>COUNTIF('Bank Accounts'!$H$5:$H$12,"Blocked")+COUNTIF('Bank Accounts'!$H$5:$H$12,"FAIL")</f>
        <v>0</v>
      </c>
      <c r="K17" s="15">
        <f>IFERROR(H17/G17,0)</f>
        <v>1</v>
      </c>
      <c r="L17" s="16" t="str">
        <f>IF(H17=G17,"Completed",IF(J17&gt;0,"Blocked",IF(H17&gt;0,"In Progress","Pending")))</f>
        <v>Completed</v>
      </c>
    </row>
    <row r="18" ht="20" customHeight="1" spans="6:12" x14ac:dyDescent="0.25">
      <c r="F18" s="17" t="s">
        <v>32</v>
      </c>
      <c r="G18" s="18">
        <f>COUNTA('Bank Transactions'!$A$5:$A$12)</f>
        <v>8</v>
      </c>
      <c r="H18" s="18">
        <f>COUNTIF('Bank Transactions'!$H$5:$H$12,"Completed")+COUNTIF('Bank Transactions'!$H$5:$H$12,"PASS")</f>
        <v>8</v>
      </c>
      <c r="I18" s="18">
        <f>COUNTIF('Bank Transactions'!$H$5:$H$12,"Pending")+COUNTIF('Bank Transactions'!$H$5:$H$12,"PENDING")</f>
        <v>0</v>
      </c>
      <c r="J18" s="18">
        <f>COUNTIF('Bank Transactions'!$H$5:$H$12,"Blocked")+COUNTIF('Bank Transactions'!$H$5:$H$12,"FAIL")</f>
        <v>0</v>
      </c>
      <c r="K18" s="19">
        <f>IFERROR(H18/G18,0)</f>
        <v>1</v>
      </c>
      <c r="L18" s="16" t="str">
        <f>IF(H18=G18,"Completed",IF(J18&gt;0,"Blocked",IF(H18&gt;0,"In Progress","Pending")))</f>
        <v>Completed</v>
      </c>
    </row>
    <row r="19" ht="20" customHeight="1" spans="6:12" x14ac:dyDescent="0.25">
      <c r="F19" s="14" t="s">
        <v>33</v>
      </c>
      <c r="G19" s="12">
        <f>COUNTA('General Ledger &amp; Journal'!$A$5:$A$14)</f>
        <v>10</v>
      </c>
      <c r="H19" s="12">
        <f>COUNTIF('General Ledger &amp; Journal'!$H$5:$H$14,"Completed")+COUNTIF('General Ledger &amp; Journal'!$H$5:$H$14,"PASS")</f>
        <v>10</v>
      </c>
      <c r="I19" s="12">
        <f>COUNTIF('General Ledger &amp; Journal'!$H$5:$H$14,"Pending")+COUNTIF('General Ledger &amp; Journal'!$H$5:$H$14,"PENDING")</f>
        <v>0</v>
      </c>
      <c r="J19" s="12">
        <f>COUNTIF('General Ledger &amp; Journal'!$H$5:$H$14,"Blocked")+COUNTIF('General Ledger &amp; Journal'!$H$5:$H$14,"FAIL")</f>
        <v>0</v>
      </c>
      <c r="K19" s="15">
        <f>IFERROR(H19/G19,0)</f>
        <v>1</v>
      </c>
      <c r="L19" s="16" t="str">
        <f>IF(H19=G19,"Completed",IF(J19&gt;0,"Blocked",IF(H19&gt;0,"In Progress","Pending")))</f>
        <v>Completed</v>
      </c>
    </row>
    <row r="20" ht="20" customHeight="1" spans="6:12" x14ac:dyDescent="0.25">
      <c r="F20" s="17" t="s">
        <v>34</v>
      </c>
      <c r="G20" s="18">
        <f>COUNTA('GST &amp; Tax Integration'!$A$5:$A$14)</f>
        <v>10</v>
      </c>
      <c r="H20" s="18">
        <f>COUNTIF('GST &amp; Tax Integration'!$H$5:$H$14,"Completed")+COUNTIF('GST &amp; Tax Integration'!$H$5:$H$14,"PASS")</f>
        <v>10</v>
      </c>
      <c r="I20" s="18">
        <f>COUNTIF('GST &amp; Tax Integration'!$H$5:$H$14,"Pending")+COUNTIF('GST &amp; Tax Integration'!$H$5:$H$14,"PENDING")</f>
        <v>0</v>
      </c>
      <c r="J20" s="18">
        <f>COUNTIF('GST &amp; Tax Integration'!$H$5:$H$14,"Blocked")+COUNTIF('GST &amp; Tax Integration'!$H$5:$H$14,"FAIL")</f>
        <v>0</v>
      </c>
      <c r="K20" s="19">
        <f>IFERROR(H20/G20,0)</f>
        <v>1</v>
      </c>
      <c r="L20" s="16" t="str">
        <f>IF(H20=G20,"Completed",IF(J20&gt;0,"Blocked",IF(H20&gt;0,"In Progress","Pending")))</f>
        <v>Completed</v>
      </c>
    </row>
    <row r="21" ht="20" customHeight="1" spans="6:12" x14ac:dyDescent="0.25">
      <c r="F21" s="14" t="s">
        <v>35</v>
      </c>
      <c r="G21" s="12">
        <f>COUNTA('Chart of Accounts &amp; Reports'!$A$5:$A$12)</f>
        <v>8</v>
      </c>
      <c r="H21" s="12">
        <f>COUNTIF('Chart of Accounts &amp; Reports'!$H$5:$H$12,"Completed")+COUNTIF('Chart of Accounts &amp; Reports'!$H$5:$H$12,"PASS")</f>
        <v>8</v>
      </c>
      <c r="I21" s="12">
        <f>COUNTIF('Chart of Accounts &amp; Reports'!$H$5:$H$12,"Pending")+COUNTIF('Chart of Accounts &amp; Reports'!$H$5:$H$12,"PENDING")</f>
        <v>0</v>
      </c>
      <c r="J21" s="12">
        <f>COUNTIF('Chart of Accounts &amp; Reports'!$H$5:$H$12,"Blocked")+COUNTIF('Chart of Accounts &amp; Reports'!$H$5:$H$12,"FAIL")</f>
        <v>0</v>
      </c>
      <c r="K21" s="15">
        <f>IFERROR(H21/G21,0)</f>
        <v>1</v>
      </c>
      <c r="L21" s="16" t="str">
        <f>IF(H21=G21,"Completed",IF(J21&gt;0,"Blocked",IF(H21&gt;0,"In Progress","Pending")))</f>
        <v>Completed</v>
      </c>
    </row>
    <row r="22" ht="20" customHeight="1" spans="6:12" x14ac:dyDescent="0.25">
      <c r="F22" s="17" t="s">
        <v>36</v>
      </c>
      <c r="G22" s="18">
        <f>COUNTA('Browser UI Verification'!$A$5:$A$18)</f>
        <v>14</v>
      </c>
      <c r="H22" s="18">
        <f>COUNTIF('Browser UI Verification'!$H$5:$H$18,"Completed")+COUNTIF('Browser UI Verification'!$H$5:$H$18,"PASS")</f>
        <v>14</v>
      </c>
      <c r="I22" s="18">
        <f>COUNTIF('Browser UI Verification'!$H$5:$H$18,"Pending")+COUNTIF('Browser UI Verification'!$H$5:$H$18,"PENDING")</f>
        <v>0</v>
      </c>
      <c r="J22" s="18">
        <f>COUNTIF('Browser UI Verification'!$H$5:$H$18,"Blocked")+COUNTIF('Browser UI Verification'!$H$5:$H$18,"FAIL")</f>
        <v>0</v>
      </c>
      <c r="K22" s="19">
        <f>IFERROR(H22/G22,0)</f>
        <v>1</v>
      </c>
      <c r="L22" s="16" t="str">
        <f>IF(H22=G22,"Completed",IF(J22&gt;0,"Blocked",IF(H22&gt;0,"In Progress","Pending")))</f>
        <v>Completed</v>
      </c>
    </row>
    <row r="23" ht="20" customHeight="1" spans="6:12" x14ac:dyDescent="0.25">
      <c r="F23" s="14" t="s">
        <v>37</v>
      </c>
      <c r="G23" s="12">
        <f>COUNTA('Cross-Module End-to-End'!$A$5:$A$10)</f>
        <v>6</v>
      </c>
      <c r="H23" s="12">
        <f>COUNTIF('Cross-Module End-to-End'!$H$5:$H$10,"Completed")+COUNTIF('Cross-Module End-to-End'!$H$5:$H$10,"PASS")</f>
        <v>6</v>
      </c>
      <c r="I23" s="12">
        <f>COUNTIF('Cross-Module End-to-End'!$H$5:$H$10,"Pending")+COUNTIF('Cross-Module End-to-End'!$H$5:$H$10,"PENDING")</f>
        <v>0</v>
      </c>
      <c r="J23" s="12">
        <f>COUNTIF('Cross-Module End-to-End'!$H$5:$H$10,"Blocked")+COUNTIF('Cross-Module End-to-End'!$H$5:$H$10,"FAIL")</f>
        <v>0</v>
      </c>
      <c r="K23" s="15">
        <f>IFERROR(H23/G23,0)</f>
        <v>1</v>
      </c>
      <c r="L23" s="16" t="str">
        <f>IF(H23=G23,"Completed",IF(J23&gt;0,"Blocked",IF(H23&gt;0,"In Progress","Pending")))</f>
        <v>Completed</v>
      </c>
    </row>
    <row r="24" ht="20" customHeight="1" spans="6:12" x14ac:dyDescent="0.25">
      <c r="F24" s="17" t="s">
        <v>38</v>
      </c>
      <c r="G24" s="18">
        <f>COUNTA('Regression &amp; Negative Tests'!$A$5:$A$16)</f>
        <v>12</v>
      </c>
      <c r="H24" s="18">
        <f>COUNTIF('Regression &amp; Negative Tests'!$H$5:$H$16,"Completed")+COUNTIF('Regression &amp; Negative Tests'!$H$5:$H$16,"PASS")</f>
        <v>12</v>
      </c>
      <c r="I24" s="18">
        <f>COUNTIF('Regression &amp; Negative Tests'!$H$5:$H$16,"Pending")+COUNTIF('Regression &amp; Negative Tests'!$H$5:$H$16,"PENDING")</f>
        <v>0</v>
      </c>
      <c r="J24" s="18">
        <f>COUNTIF('Regression &amp; Negative Tests'!$H$5:$H$16,"Blocked")+COUNTIF('Regression &amp; Negative Tests'!$H$5:$H$16,"FAIL")</f>
        <v>0</v>
      </c>
      <c r="K24" s="19">
        <f>IFERROR(H24/G24,0)</f>
        <v>1</v>
      </c>
      <c r="L24" s="16" t="str">
        <f>IF(H24=G24,"Completed",IF(J24&gt;0,"Blocked",IF(H24&gt;0,"In Progress","Pending")))</f>
        <v>Completed</v>
      </c>
    </row>
    <row r="25" ht="22" customHeight="1" spans="6:12" x14ac:dyDescent="0.25">
      <c r="F25" s="20" t="s">
        <v>39</v>
      </c>
      <c r="G25" s="21">
        <f>SUM(G9:G24)</f>
        <v>150</v>
      </c>
      <c r="H25" s="21">
        <f>SUM(H9:H24)</f>
        <v>150</v>
      </c>
      <c r="I25" s="21">
        <f>SUM(I9:I24)</f>
        <v>0</v>
      </c>
      <c r="J25" s="21">
        <f>SUM(J9:J24)</f>
        <v>0</v>
      </c>
      <c r="K25" s="23">
        <f>IFERROR(H25/G25,0)</f>
        <v>1</v>
      </c>
      <c r="L25" s="24" t="s">
        <v>18</v>
      </c>
    </row>
  </sheetData>
  <mergeCells count="16">
    <mergeCell ref="A1:L1"/>
    <mergeCell ref="A2:L2"/>
    <mergeCell ref="A4:B4"/>
    <mergeCell ref="C4:D4"/>
    <mergeCell ref="E4:F4"/>
    <mergeCell ref="G4:H4"/>
    <mergeCell ref="I4:J4"/>
    <mergeCell ref="K4:L4"/>
    <mergeCell ref="A5:B5"/>
    <mergeCell ref="C5:D5"/>
    <mergeCell ref="E5:F5"/>
    <mergeCell ref="G5:H5"/>
    <mergeCell ref="I5:J5"/>
    <mergeCell ref="K5:L5"/>
    <mergeCell ref="A7:D7"/>
    <mergeCell ref="F7:L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"/>
  <sheetFormatPr defaultRowHeight="15" outlineLevelRow="0" outlineLevelCol="0" x14ac:dyDescent="55"/>
  <cols>
    <col min="1" max="1" width="28" customWidth="1"/>
    <col min="2" max="2" width="90" customWidth="1"/>
  </cols>
  <sheetData>
    <row r="1" ht="36" customHeight="1" spans="1:12" x14ac:dyDescent="0.25">
      <c r="A1" s="1" t="s">
        <v>40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 x14ac:dyDescent="0.25">
      <c r="A2" s="2" t="s">
        <v>41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10" customHeight="1" x14ac:dyDescent="0.25"/>
    <row r="4" ht="24" customHeight="1" spans="1:2" x14ac:dyDescent="0.25">
      <c r="A4" s="25" t="s">
        <v>42</v>
      </c>
      <c r="B4" s="26" t="s">
        <v>43</v>
      </c>
    </row>
    <row r="5" ht="24" customHeight="1" spans="1:2" x14ac:dyDescent="0.25">
      <c r="A5" s="25" t="s">
        <v>44</v>
      </c>
      <c r="B5" s="26" t="s">
        <v>45</v>
      </c>
    </row>
    <row r="6" ht="24" customHeight="1" spans="1:2" x14ac:dyDescent="0.25">
      <c r="A6" s="25" t="s">
        <v>46</v>
      </c>
      <c r="B6" s="26" t="s">
        <v>47</v>
      </c>
    </row>
    <row r="7" ht="24" customHeight="1" spans="1:2" x14ac:dyDescent="0.25">
      <c r="A7" s="25" t="s">
        <v>48</v>
      </c>
      <c r="B7" s="26" t="s">
        <v>49</v>
      </c>
    </row>
    <row r="8" ht="24" customHeight="1" spans="1:2" x14ac:dyDescent="0.25">
      <c r="A8" s="25" t="s">
        <v>50</v>
      </c>
      <c r="B8" s="26" t="s">
        <v>51</v>
      </c>
    </row>
    <row r="9" ht="24" customHeight="1" spans="1:2" x14ac:dyDescent="0.25">
      <c r="A9" s="25" t="s">
        <v>52</v>
      </c>
      <c r="B9" s="26" t="s">
        <v>53</v>
      </c>
    </row>
    <row r="10" ht="12" customHeight="1" spans="1:2" x14ac:dyDescent="0.25">
      <c r="A10" s="27" t="s">
        <v>43</v>
      </c>
      <c r="B10" s="26" t="s">
        <v>43</v>
      </c>
    </row>
    <row r="11" ht="24" customHeight="1" spans="1:2" x14ac:dyDescent="0.25">
      <c r="A11" s="25" t="s">
        <v>54</v>
      </c>
      <c r="B11" s="26" t="s">
        <v>43</v>
      </c>
    </row>
    <row r="12" ht="24" customHeight="1" spans="1:2" x14ac:dyDescent="0.25">
      <c r="A12" s="27" t="s">
        <v>55</v>
      </c>
      <c r="B12" s="26" t="s">
        <v>56</v>
      </c>
    </row>
    <row r="13" ht="24" customHeight="1" spans="1:2" x14ac:dyDescent="0.25">
      <c r="A13" s="27" t="s">
        <v>57</v>
      </c>
      <c r="B13" s="26" t="s">
        <v>58</v>
      </c>
    </row>
    <row r="14" ht="24" customHeight="1" spans="1:2" x14ac:dyDescent="0.25">
      <c r="A14" s="27" t="s">
        <v>59</v>
      </c>
      <c r="B14" s="26" t="s">
        <v>60</v>
      </c>
    </row>
    <row r="15" ht="24" customHeight="1" spans="1:2" x14ac:dyDescent="0.25">
      <c r="A15" s="27" t="s">
        <v>61</v>
      </c>
      <c r="B15" s="26" t="s">
        <v>62</v>
      </c>
    </row>
    <row r="16" ht="24" customHeight="1" spans="1:2" x14ac:dyDescent="0.25">
      <c r="A16" s="27" t="s">
        <v>63</v>
      </c>
      <c r="B16" s="26" t="s">
        <v>64</v>
      </c>
    </row>
    <row r="17" ht="24" customHeight="1" spans="1:2" x14ac:dyDescent="0.25">
      <c r="A17" s="27" t="s">
        <v>65</v>
      </c>
      <c r="B17" s="26" t="s">
        <v>66</v>
      </c>
    </row>
    <row r="18" ht="24" customHeight="1" spans="1:2" x14ac:dyDescent="0.25">
      <c r="A18" s="27" t="s">
        <v>67</v>
      </c>
      <c r="B18" s="26" t="s">
        <v>68</v>
      </c>
    </row>
    <row r="19" ht="24" customHeight="1" spans="1:2" x14ac:dyDescent="0.25">
      <c r="A19" s="27" t="s">
        <v>69</v>
      </c>
      <c r="B19" s="26" t="s">
        <v>70</v>
      </c>
    </row>
    <row r="20" ht="24" customHeight="1" spans="1:2" x14ac:dyDescent="0.25">
      <c r="A20" s="27" t="s">
        <v>71</v>
      </c>
      <c r="B20" s="26" t="s">
        <v>72</v>
      </c>
    </row>
    <row r="21" ht="24" customHeight="1" spans="1:2" x14ac:dyDescent="0.25">
      <c r="A21" s="27" t="s">
        <v>73</v>
      </c>
      <c r="B21" s="26" t="s">
        <v>74</v>
      </c>
    </row>
    <row r="22" ht="24" customHeight="1" spans="1:2" x14ac:dyDescent="0.25">
      <c r="A22" s="27" t="s">
        <v>75</v>
      </c>
      <c r="B22" s="26" t="s">
        <v>76</v>
      </c>
    </row>
    <row r="23" ht="24" customHeight="1" spans="1:2" x14ac:dyDescent="0.25">
      <c r="A23" s="27" t="s">
        <v>77</v>
      </c>
      <c r="B23" s="26" t="s">
        <v>78</v>
      </c>
    </row>
    <row r="24" ht="24" customHeight="1" spans="1:2" x14ac:dyDescent="0.25">
      <c r="A24" s="27" t="s">
        <v>79</v>
      </c>
      <c r="B24" s="26" t="s">
        <v>80</v>
      </c>
    </row>
    <row r="25" ht="24" customHeight="1" spans="1:2" x14ac:dyDescent="0.25">
      <c r="A25" s="27" t="s">
        <v>81</v>
      </c>
      <c r="B25" s="26" t="s">
        <v>82</v>
      </c>
    </row>
    <row r="26" ht="24" customHeight="1" spans="1:2" x14ac:dyDescent="0.25">
      <c r="A26" s="27" t="s">
        <v>83</v>
      </c>
      <c r="B26" s="26" t="s">
        <v>84</v>
      </c>
    </row>
    <row r="27" ht="24" customHeight="1" spans="1:2" x14ac:dyDescent="0.25">
      <c r="A27" s="27" t="s">
        <v>85</v>
      </c>
      <c r="B27" s="26" t="s">
        <v>86</v>
      </c>
    </row>
    <row r="28" ht="12" customHeight="1" spans="1:2" x14ac:dyDescent="0.25">
      <c r="A28" s="27" t="s">
        <v>43</v>
      </c>
      <c r="B28" s="26" t="s">
        <v>43</v>
      </c>
    </row>
    <row r="29" ht="24" customHeight="1" spans="1:2" x14ac:dyDescent="0.25">
      <c r="A29" s="25" t="s">
        <v>87</v>
      </c>
      <c r="B29" s="26" t="s">
        <v>43</v>
      </c>
    </row>
    <row r="30" ht="24" customHeight="1" spans="1:2" x14ac:dyDescent="0.25">
      <c r="A30" s="27" t="s">
        <v>3</v>
      </c>
      <c r="B30" s="26" t="s">
        <v>88</v>
      </c>
    </row>
    <row r="31" ht="24" customHeight="1" spans="1:2" x14ac:dyDescent="0.25">
      <c r="A31" s="27" t="s">
        <v>20</v>
      </c>
      <c r="B31" s="26" t="s">
        <v>89</v>
      </c>
    </row>
    <row r="32" ht="24" customHeight="1" spans="1:2" x14ac:dyDescent="0.25">
      <c r="A32" s="27" t="s">
        <v>7</v>
      </c>
      <c r="B32" s="26" t="s">
        <v>90</v>
      </c>
    </row>
    <row r="33" ht="24" customHeight="1" spans="1:2" x14ac:dyDescent="0.25">
      <c r="A33" s="27" t="s">
        <v>5</v>
      </c>
      <c r="B33" s="26" t="s">
        <v>91</v>
      </c>
    </row>
    <row r="34" ht="24" customHeight="1" spans="1:2" x14ac:dyDescent="0.25">
      <c r="A34" s="27" t="s">
        <v>92</v>
      </c>
      <c r="B34" s="26" t="s">
        <v>93</v>
      </c>
    </row>
  </sheetData>
  <mergeCells count="2">
    <mergeCell ref="A1:L1"/>
    <mergeCell ref="A2:L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workbookViewId="0"/>
  </sheetViews>
  <sheetFormatPr defaultRowHeight="15" outlineLevelRow="0" outlineLevelCol="0" x14ac:dyDescent="55"/>
  <cols>
    <col min="1" max="1" width="14" customWidth="1"/>
    <col min="2" max="2" width="12" customWidth="1"/>
    <col min="3" max="3" width="34" customWidth="1"/>
    <col min="4" max="4" width="36" customWidth="1"/>
    <col min="5" max="6" width="38" customWidth="1"/>
    <col min="7" max="7" width="28" customWidth="1"/>
    <col min="8" max="8" width="16" customWidth="1"/>
    <col min="9" max="9" width="12" customWidth="1"/>
    <col min="10" max="10" width="40" customWidth="1"/>
    <col min="11" max="11" width="16" customWidth="1"/>
    <col min="12" max="12" width="14" customWidth="1"/>
  </cols>
  <sheetData>
    <row r="1" ht="36" customHeight="1" spans="1:12" x14ac:dyDescent="0.25">
      <c r="A1" s="1" t="s">
        <v>94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 x14ac:dyDescent="0.25">
      <c r="A2" s="2" t="s">
        <v>95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10" customHeight="1" x14ac:dyDescent="0.25"/>
    <row r="4" ht="28" customHeight="1" spans="1:12" x14ac:dyDescent="0.25">
      <c r="A4" s="28" t="s">
        <v>96</v>
      </c>
      <c r="B4" s="28" t="s">
        <v>97</v>
      </c>
      <c r="C4" s="29" t="s">
        <v>98</v>
      </c>
      <c r="D4" s="29" t="s">
        <v>99</v>
      </c>
      <c r="E4" s="29" t="s">
        <v>100</v>
      </c>
      <c r="F4" s="29" t="s">
        <v>101</v>
      </c>
      <c r="G4" s="29" t="s">
        <v>102</v>
      </c>
      <c r="H4" s="28" t="s">
        <v>10</v>
      </c>
      <c r="I4" s="28" t="s">
        <v>17</v>
      </c>
      <c r="J4" s="29" t="s">
        <v>103</v>
      </c>
      <c r="K4" s="29" t="s">
        <v>104</v>
      </c>
      <c r="L4" s="29" t="s">
        <v>105</v>
      </c>
    </row>
    <row r="5" ht="32" customHeight="1" spans="1:12" x14ac:dyDescent="0.25">
      <c r="A5" s="30" t="s">
        <v>106</v>
      </c>
      <c r="B5" s="30" t="s">
        <v>107</v>
      </c>
      <c r="C5" s="31" t="s">
        <v>108</v>
      </c>
      <c r="D5" s="31" t="s">
        <v>109</v>
      </c>
      <c r="E5" s="31" t="s">
        <v>110</v>
      </c>
      <c r="F5" s="31" t="s">
        <v>111</v>
      </c>
      <c r="G5" s="31" t="s">
        <v>112</v>
      </c>
      <c r="H5" s="32" t="s">
        <v>113</v>
      </c>
      <c r="I5" s="33">
        <f>IF(OR(H5="Completed",H5="PASS"),1,IF(H5="In Progress",0.5,0))</f>
        <v>1</v>
      </c>
      <c r="J5" s="31" t="s">
        <v>114</v>
      </c>
      <c r="K5" s="30" t="s">
        <v>115</v>
      </c>
      <c r="L5" s="30" t="s">
        <v>116</v>
      </c>
    </row>
    <row r="6" ht="32" customHeight="1" spans="1:12" x14ac:dyDescent="0.25">
      <c r="A6" s="34" t="s">
        <v>117</v>
      </c>
      <c r="B6" s="34" t="s">
        <v>107</v>
      </c>
      <c r="C6" s="35" t="s">
        <v>108</v>
      </c>
      <c r="D6" s="35" t="s">
        <v>118</v>
      </c>
      <c r="E6" s="35" t="s">
        <v>119</v>
      </c>
      <c r="F6" s="35" t="s">
        <v>120</v>
      </c>
      <c r="G6" s="35" t="s">
        <v>112</v>
      </c>
      <c r="H6" s="32" t="s">
        <v>113</v>
      </c>
      <c r="I6" s="36">
        <f>IF(OR(H6="Completed",H6="PASS"),1,IF(H6="In Progress",0.5,0))</f>
        <v>1</v>
      </c>
      <c r="J6" s="35" t="s">
        <v>121</v>
      </c>
      <c r="K6" s="34" t="s">
        <v>115</v>
      </c>
      <c r="L6" s="34" t="s">
        <v>116</v>
      </c>
    </row>
    <row r="7" ht="32" customHeight="1" spans="1:12" x14ac:dyDescent="0.25">
      <c r="A7" s="30" t="s">
        <v>122</v>
      </c>
      <c r="B7" s="30" t="s">
        <v>107</v>
      </c>
      <c r="C7" s="31" t="s">
        <v>108</v>
      </c>
      <c r="D7" s="31" t="s">
        <v>123</v>
      </c>
      <c r="E7" s="31" t="s">
        <v>124</v>
      </c>
      <c r="F7" s="31" t="s">
        <v>125</v>
      </c>
      <c r="G7" s="31" t="s">
        <v>112</v>
      </c>
      <c r="H7" s="32" t="s">
        <v>113</v>
      </c>
      <c r="I7" s="33">
        <f>IF(OR(H7="Completed",H7="PASS"),1,IF(H7="In Progress",0.5,0))</f>
        <v>1</v>
      </c>
      <c r="J7" s="31" t="s">
        <v>126</v>
      </c>
      <c r="K7" s="30" t="s">
        <v>115</v>
      </c>
      <c r="L7" s="30" t="s">
        <v>116</v>
      </c>
    </row>
    <row r="8" ht="32" customHeight="1" spans="1:12" x14ac:dyDescent="0.25">
      <c r="A8" s="34" t="s">
        <v>127</v>
      </c>
      <c r="B8" s="34" t="s">
        <v>107</v>
      </c>
      <c r="C8" s="35" t="s">
        <v>108</v>
      </c>
      <c r="D8" s="35" t="s">
        <v>128</v>
      </c>
      <c r="E8" s="35" t="s">
        <v>129</v>
      </c>
      <c r="F8" s="35" t="s">
        <v>130</v>
      </c>
      <c r="G8" s="35" t="s">
        <v>112</v>
      </c>
      <c r="H8" s="32" t="s">
        <v>113</v>
      </c>
      <c r="I8" s="36">
        <f>IF(OR(H8="Completed",H8="PASS"),1,IF(H8="In Progress",0.5,0))</f>
        <v>1</v>
      </c>
      <c r="J8" s="35" t="s">
        <v>131</v>
      </c>
      <c r="K8" s="34" t="s">
        <v>115</v>
      </c>
      <c r="L8" s="34" t="s">
        <v>116</v>
      </c>
    </row>
    <row r="9" ht="32" customHeight="1" spans="1:12" x14ac:dyDescent="0.25">
      <c r="A9" s="30" t="s">
        <v>132</v>
      </c>
      <c r="B9" s="30" t="s">
        <v>107</v>
      </c>
      <c r="C9" s="31" t="s">
        <v>108</v>
      </c>
      <c r="D9" s="31" t="s">
        <v>133</v>
      </c>
      <c r="E9" s="31" t="s">
        <v>134</v>
      </c>
      <c r="F9" s="31" t="s">
        <v>135</v>
      </c>
      <c r="G9" s="31" t="s">
        <v>112</v>
      </c>
      <c r="H9" s="32" t="s">
        <v>113</v>
      </c>
      <c r="I9" s="33">
        <f>IF(OR(H9="Completed",H9="PASS"),1,IF(H9="In Progress",0.5,0))</f>
        <v>1</v>
      </c>
      <c r="J9" s="31" t="s">
        <v>136</v>
      </c>
      <c r="K9" s="30" t="s">
        <v>115</v>
      </c>
      <c r="L9" s="30" t="s">
        <v>116</v>
      </c>
    </row>
    <row r="10" ht="32" customHeight="1" spans="1:12" x14ac:dyDescent="0.25">
      <c r="A10" s="34" t="s">
        <v>137</v>
      </c>
      <c r="B10" s="34" t="s">
        <v>107</v>
      </c>
      <c r="C10" s="35" t="s">
        <v>108</v>
      </c>
      <c r="D10" s="35" t="s">
        <v>138</v>
      </c>
      <c r="E10" s="35" t="s">
        <v>139</v>
      </c>
      <c r="F10" s="35" t="s">
        <v>140</v>
      </c>
      <c r="G10" s="35" t="s">
        <v>112</v>
      </c>
      <c r="H10" s="32" t="s">
        <v>113</v>
      </c>
      <c r="I10" s="36">
        <f>IF(OR(H10="Completed",H10="PASS"),1,IF(H10="In Progress",0.5,0))</f>
        <v>1</v>
      </c>
      <c r="J10" s="35" t="s">
        <v>141</v>
      </c>
      <c r="K10" s="34" t="s">
        <v>115</v>
      </c>
      <c r="L10" s="34" t="s">
        <v>116</v>
      </c>
    </row>
    <row r="11" ht="32" customHeight="1" spans="1:12" x14ac:dyDescent="0.25">
      <c r="A11" s="30" t="s">
        <v>142</v>
      </c>
      <c r="B11" s="30" t="s">
        <v>107</v>
      </c>
      <c r="C11" s="31" t="s">
        <v>108</v>
      </c>
      <c r="D11" s="31" t="s">
        <v>143</v>
      </c>
      <c r="E11" s="31" t="s">
        <v>144</v>
      </c>
      <c r="F11" s="31" t="s">
        <v>145</v>
      </c>
      <c r="G11" s="31" t="s">
        <v>146</v>
      </c>
      <c r="H11" s="32" t="s">
        <v>113</v>
      </c>
      <c r="I11" s="33">
        <f>IF(OR(H11="Completed",H11="PASS"),1,IF(H11="In Progress",0.5,0))</f>
        <v>1</v>
      </c>
      <c r="J11" s="31" t="s">
        <v>147</v>
      </c>
      <c r="K11" s="30" t="s">
        <v>115</v>
      </c>
      <c r="L11" s="30" t="s">
        <v>116</v>
      </c>
    </row>
    <row r="12" ht="32" customHeight="1" spans="1:12" x14ac:dyDescent="0.25">
      <c r="A12" s="34" t="s">
        <v>148</v>
      </c>
      <c r="B12" s="34" t="s">
        <v>107</v>
      </c>
      <c r="C12" s="35" t="s">
        <v>108</v>
      </c>
      <c r="D12" s="35" t="s">
        <v>149</v>
      </c>
      <c r="E12" s="35" t="s">
        <v>150</v>
      </c>
      <c r="F12" s="35" t="s">
        <v>151</v>
      </c>
      <c r="G12" s="35" t="s">
        <v>146</v>
      </c>
      <c r="H12" s="32" t="s">
        <v>113</v>
      </c>
      <c r="I12" s="36">
        <f>IF(OR(H12="Completed",H12="PASS"),1,IF(H12="In Progress",0.5,0))</f>
        <v>1</v>
      </c>
      <c r="J12" s="35" t="s">
        <v>152</v>
      </c>
      <c r="K12" s="34" t="s">
        <v>115</v>
      </c>
      <c r="L12" s="34" t="s">
        <v>116</v>
      </c>
    </row>
    <row r="13" ht="32" customHeight="1" spans="1:12" x14ac:dyDescent="0.25">
      <c r="A13" s="30" t="s">
        <v>153</v>
      </c>
      <c r="B13" s="30" t="s">
        <v>154</v>
      </c>
      <c r="C13" s="31" t="s">
        <v>155</v>
      </c>
      <c r="D13" s="31" t="s">
        <v>156</v>
      </c>
      <c r="E13" s="31" t="s">
        <v>157</v>
      </c>
      <c r="F13" s="31" t="s">
        <v>158</v>
      </c>
      <c r="G13" s="31" t="s">
        <v>159</v>
      </c>
      <c r="H13" s="32" t="s">
        <v>113</v>
      </c>
      <c r="I13" s="33">
        <f>IF(OR(H13="Completed",H13="PASS"),1,IF(H13="In Progress",0.5,0))</f>
        <v>1</v>
      </c>
      <c r="J13" s="31" t="s">
        <v>160</v>
      </c>
      <c r="K13" s="30" t="s">
        <v>115</v>
      </c>
      <c r="L13" s="30" t="s">
        <v>116</v>
      </c>
    </row>
    <row r="14" ht="32" customHeight="1" spans="1:12" x14ac:dyDescent="0.25">
      <c r="A14" s="34" t="s">
        <v>161</v>
      </c>
      <c r="B14" s="34" t="s">
        <v>154</v>
      </c>
      <c r="C14" s="35" t="s">
        <v>162</v>
      </c>
      <c r="D14" s="35" t="s">
        <v>156</v>
      </c>
      <c r="E14" s="35" t="s">
        <v>163</v>
      </c>
      <c r="F14" s="35" t="s">
        <v>164</v>
      </c>
      <c r="G14" s="35" t="s">
        <v>159</v>
      </c>
      <c r="H14" s="32" t="s">
        <v>113</v>
      </c>
      <c r="I14" s="36">
        <f>IF(OR(H14="Completed",H14="PASS"),1,IF(H14="In Progress",0.5,0))</f>
        <v>1</v>
      </c>
      <c r="J14" s="35" t="s">
        <v>165</v>
      </c>
      <c r="K14" s="34" t="s">
        <v>115</v>
      </c>
      <c r="L14" s="34" t="s">
        <v>116</v>
      </c>
    </row>
  </sheetData>
  <mergeCells count="2">
    <mergeCell ref="A1:L1"/>
    <mergeCell ref="A2:L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"/>
  <sheetViews>
    <sheetView workbookViewId="0"/>
  </sheetViews>
  <sheetFormatPr defaultRowHeight="15" outlineLevelRow="0" outlineLevelCol="0" x14ac:dyDescent="55"/>
  <cols>
    <col min="1" max="1" width="14" customWidth="1"/>
    <col min="2" max="2" width="12" customWidth="1"/>
    <col min="3" max="3" width="34" customWidth="1"/>
    <col min="4" max="4" width="36" customWidth="1"/>
    <col min="5" max="6" width="38" customWidth="1"/>
    <col min="7" max="7" width="28" customWidth="1"/>
    <col min="8" max="8" width="16" customWidth="1"/>
    <col min="9" max="9" width="12" customWidth="1"/>
    <col min="10" max="10" width="40" customWidth="1"/>
    <col min="11" max="11" width="16" customWidth="1"/>
    <col min="12" max="12" width="14" customWidth="1"/>
  </cols>
  <sheetData>
    <row r="1" ht="36" customHeight="1" spans="1:12" x14ac:dyDescent="0.25">
      <c r="A1" s="1" t="s">
        <v>166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 x14ac:dyDescent="0.25">
      <c r="A2" s="2" t="s">
        <v>167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10" customHeight="1" x14ac:dyDescent="0.25"/>
    <row r="4" ht="28" customHeight="1" spans="1:12" x14ac:dyDescent="0.25">
      <c r="A4" s="28" t="s">
        <v>96</v>
      </c>
      <c r="B4" s="28" t="s">
        <v>97</v>
      </c>
      <c r="C4" s="29" t="s">
        <v>98</v>
      </c>
      <c r="D4" s="29" t="s">
        <v>99</v>
      </c>
      <c r="E4" s="29" t="s">
        <v>100</v>
      </c>
      <c r="F4" s="29" t="s">
        <v>101</v>
      </c>
      <c r="G4" s="29" t="s">
        <v>102</v>
      </c>
      <c r="H4" s="28" t="s">
        <v>10</v>
      </c>
      <c r="I4" s="28" t="s">
        <v>17</v>
      </c>
      <c r="J4" s="29" t="s">
        <v>103</v>
      </c>
      <c r="K4" s="29" t="s">
        <v>104</v>
      </c>
      <c r="L4" s="29" t="s">
        <v>105</v>
      </c>
    </row>
    <row r="5" ht="32" customHeight="1" spans="1:12" x14ac:dyDescent="0.25">
      <c r="A5" s="30" t="s">
        <v>168</v>
      </c>
      <c r="B5" s="30" t="s">
        <v>154</v>
      </c>
      <c r="C5" s="31" t="s">
        <v>169</v>
      </c>
      <c r="D5" s="31" t="s">
        <v>156</v>
      </c>
      <c r="E5" s="31" t="s">
        <v>170</v>
      </c>
      <c r="F5" s="31" t="s">
        <v>171</v>
      </c>
      <c r="G5" s="31" t="s">
        <v>172</v>
      </c>
      <c r="H5" s="32" t="s">
        <v>113</v>
      </c>
      <c r="I5" s="33">
        <f>IF(OR(H5="Completed",H5="PASS"),1,IF(H5="In Progress",0.5,0))</f>
        <v>1</v>
      </c>
      <c r="J5" s="31" t="s">
        <v>173</v>
      </c>
      <c r="K5" s="30" t="s">
        <v>115</v>
      </c>
      <c r="L5" s="30" t="s">
        <v>116</v>
      </c>
    </row>
    <row r="6" ht="32" customHeight="1" spans="1:12" x14ac:dyDescent="0.25">
      <c r="A6" s="34" t="s">
        <v>174</v>
      </c>
      <c r="B6" s="34" t="s">
        <v>154</v>
      </c>
      <c r="C6" s="35" t="s">
        <v>175</v>
      </c>
      <c r="D6" s="35" t="s">
        <v>156</v>
      </c>
      <c r="E6" s="35" t="s">
        <v>176</v>
      </c>
      <c r="F6" s="35" t="s">
        <v>177</v>
      </c>
      <c r="G6" s="35" t="s">
        <v>172</v>
      </c>
      <c r="H6" s="32" t="s">
        <v>113</v>
      </c>
      <c r="I6" s="36">
        <f>IF(OR(H6="Completed",H6="PASS"),1,IF(H6="In Progress",0.5,0))</f>
        <v>1</v>
      </c>
      <c r="J6" s="35" t="s">
        <v>178</v>
      </c>
      <c r="K6" s="34" t="s">
        <v>115</v>
      </c>
      <c r="L6" s="34" t="s">
        <v>116</v>
      </c>
    </row>
    <row r="7" ht="32" customHeight="1" spans="1:12" x14ac:dyDescent="0.25">
      <c r="A7" s="30" t="s">
        <v>179</v>
      </c>
      <c r="B7" s="30" t="s">
        <v>107</v>
      </c>
      <c r="C7" s="31" t="s">
        <v>180</v>
      </c>
      <c r="D7" s="31" t="s">
        <v>181</v>
      </c>
      <c r="E7" s="31" t="s">
        <v>182</v>
      </c>
      <c r="F7" s="31" t="s">
        <v>183</v>
      </c>
      <c r="G7" s="31" t="s">
        <v>184</v>
      </c>
      <c r="H7" s="32" t="s">
        <v>113</v>
      </c>
      <c r="I7" s="33">
        <f>IF(OR(H7="Completed",H7="PASS"),1,IF(H7="In Progress",0.5,0))</f>
        <v>1</v>
      </c>
      <c r="J7" s="31" t="s">
        <v>185</v>
      </c>
      <c r="K7" s="30" t="s">
        <v>115</v>
      </c>
      <c r="L7" s="30" t="s">
        <v>116</v>
      </c>
    </row>
    <row r="8" ht="32" customHeight="1" spans="1:12" x14ac:dyDescent="0.25">
      <c r="A8" s="34" t="s">
        <v>186</v>
      </c>
      <c r="B8" s="34" t="s">
        <v>107</v>
      </c>
      <c r="C8" s="35" t="s">
        <v>180</v>
      </c>
      <c r="D8" s="35" t="s">
        <v>187</v>
      </c>
      <c r="E8" s="35" t="s">
        <v>188</v>
      </c>
      <c r="F8" s="35" t="s">
        <v>189</v>
      </c>
      <c r="G8" s="35" t="s">
        <v>184</v>
      </c>
      <c r="H8" s="32" t="s">
        <v>113</v>
      </c>
      <c r="I8" s="36">
        <f>IF(OR(H8="Completed",H8="PASS"),1,IF(H8="In Progress",0.5,0))</f>
        <v>1</v>
      </c>
      <c r="J8" s="35" t="s">
        <v>190</v>
      </c>
      <c r="K8" s="34" t="s">
        <v>115</v>
      </c>
      <c r="L8" s="34" t="s">
        <v>116</v>
      </c>
    </row>
    <row r="9" ht="32" customHeight="1" spans="1:12" x14ac:dyDescent="0.25">
      <c r="A9" s="30" t="s">
        <v>191</v>
      </c>
      <c r="B9" s="30" t="s">
        <v>107</v>
      </c>
      <c r="C9" s="31" t="s">
        <v>180</v>
      </c>
      <c r="D9" s="31" t="s">
        <v>192</v>
      </c>
      <c r="E9" s="31" t="s">
        <v>193</v>
      </c>
      <c r="F9" s="31" t="s">
        <v>194</v>
      </c>
      <c r="G9" s="31" t="s">
        <v>184</v>
      </c>
      <c r="H9" s="32" t="s">
        <v>113</v>
      </c>
      <c r="I9" s="33">
        <f>IF(OR(H9="Completed",H9="PASS"),1,IF(H9="In Progress",0.5,0))</f>
        <v>1</v>
      </c>
      <c r="J9" s="31" t="s">
        <v>195</v>
      </c>
      <c r="K9" s="30" t="s">
        <v>115</v>
      </c>
      <c r="L9" s="30" t="s">
        <v>116</v>
      </c>
    </row>
    <row r="10" ht="32" customHeight="1" spans="1:12" x14ac:dyDescent="0.25">
      <c r="A10" s="34" t="s">
        <v>196</v>
      </c>
      <c r="B10" s="34" t="s">
        <v>107</v>
      </c>
      <c r="C10" s="35" t="s">
        <v>180</v>
      </c>
      <c r="D10" s="35" t="s">
        <v>197</v>
      </c>
      <c r="E10" s="35" t="s">
        <v>198</v>
      </c>
      <c r="F10" s="35" t="s">
        <v>199</v>
      </c>
      <c r="G10" s="35" t="s">
        <v>200</v>
      </c>
      <c r="H10" s="32" t="s">
        <v>113</v>
      </c>
      <c r="I10" s="36">
        <f>IF(OR(H10="Completed",H10="PASS"),1,IF(H10="In Progress",0.5,0))</f>
        <v>1</v>
      </c>
      <c r="J10" s="35" t="s">
        <v>201</v>
      </c>
      <c r="K10" s="34" t="s">
        <v>115</v>
      </c>
      <c r="L10" s="34" t="s">
        <v>116</v>
      </c>
    </row>
    <row r="11" ht="32" customHeight="1" spans="1:12" x14ac:dyDescent="0.25">
      <c r="A11" s="30" t="s">
        <v>202</v>
      </c>
      <c r="B11" s="30" t="s">
        <v>107</v>
      </c>
      <c r="C11" s="31" t="s">
        <v>180</v>
      </c>
      <c r="D11" s="31" t="s">
        <v>203</v>
      </c>
      <c r="E11" s="31" t="s">
        <v>204</v>
      </c>
      <c r="F11" s="31" t="s">
        <v>205</v>
      </c>
      <c r="G11" s="31" t="s">
        <v>206</v>
      </c>
      <c r="H11" s="32" t="s">
        <v>113</v>
      </c>
      <c r="I11" s="33">
        <f>IF(OR(H11="Completed",H11="PASS"),1,IF(H11="In Progress",0.5,0))</f>
        <v>1</v>
      </c>
      <c r="J11" s="31" t="s">
        <v>207</v>
      </c>
      <c r="K11" s="30" t="s">
        <v>115</v>
      </c>
      <c r="L11" s="30" t="s">
        <v>116</v>
      </c>
    </row>
    <row r="12" ht="32" customHeight="1" spans="1:12" x14ac:dyDescent="0.25">
      <c r="A12" s="34" t="s">
        <v>208</v>
      </c>
      <c r="B12" s="34" t="s">
        <v>154</v>
      </c>
      <c r="C12" s="35" t="s">
        <v>209</v>
      </c>
      <c r="D12" s="35" t="s">
        <v>156</v>
      </c>
      <c r="E12" s="35" t="s">
        <v>210</v>
      </c>
      <c r="F12" s="35" t="s">
        <v>211</v>
      </c>
      <c r="G12" s="35" t="s">
        <v>172</v>
      </c>
      <c r="H12" s="32" t="s">
        <v>113</v>
      </c>
      <c r="I12" s="36">
        <f>IF(OR(H12="Completed",H12="PASS"),1,IF(H12="In Progress",0.5,0))</f>
        <v>1</v>
      </c>
      <c r="J12" s="35" t="s">
        <v>212</v>
      </c>
      <c r="K12" s="34" t="s">
        <v>115</v>
      </c>
      <c r="L12" s="34" t="s">
        <v>116</v>
      </c>
    </row>
  </sheetData>
  <mergeCells count="2">
    <mergeCell ref="A1:L1"/>
    <mergeCell ref="A2:L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"/>
  <sheetViews>
    <sheetView workbookViewId="0"/>
  </sheetViews>
  <sheetFormatPr defaultRowHeight="15" outlineLevelRow="0" outlineLevelCol="0" x14ac:dyDescent="55"/>
  <cols>
    <col min="1" max="1" width="14" customWidth="1"/>
    <col min="2" max="2" width="12" customWidth="1"/>
    <col min="3" max="3" width="34" customWidth="1"/>
    <col min="4" max="4" width="36" customWidth="1"/>
    <col min="5" max="6" width="38" customWidth="1"/>
    <col min="7" max="7" width="28" customWidth="1"/>
    <col min="8" max="8" width="16" customWidth="1"/>
    <col min="9" max="9" width="12" customWidth="1"/>
    <col min="10" max="10" width="40" customWidth="1"/>
    <col min="11" max="11" width="16" customWidth="1"/>
    <col min="12" max="12" width="14" customWidth="1"/>
  </cols>
  <sheetData>
    <row r="1" ht="36" customHeight="1" spans="1:12" x14ac:dyDescent="0.25">
      <c r="A1" s="1" t="s">
        <v>213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 x14ac:dyDescent="0.25">
      <c r="A2" s="2" t="s">
        <v>214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10" customHeight="1" x14ac:dyDescent="0.25"/>
    <row r="4" ht="28" customHeight="1" spans="1:12" x14ac:dyDescent="0.25">
      <c r="A4" s="28" t="s">
        <v>96</v>
      </c>
      <c r="B4" s="28" t="s">
        <v>97</v>
      </c>
      <c r="C4" s="29" t="s">
        <v>98</v>
      </c>
      <c r="D4" s="29" t="s">
        <v>99</v>
      </c>
      <c r="E4" s="29" t="s">
        <v>100</v>
      </c>
      <c r="F4" s="29" t="s">
        <v>101</v>
      </c>
      <c r="G4" s="29" t="s">
        <v>102</v>
      </c>
      <c r="H4" s="28" t="s">
        <v>10</v>
      </c>
      <c r="I4" s="28" t="s">
        <v>17</v>
      </c>
      <c r="J4" s="29" t="s">
        <v>103</v>
      </c>
      <c r="K4" s="29" t="s">
        <v>104</v>
      </c>
      <c r="L4" s="29" t="s">
        <v>105</v>
      </c>
    </row>
    <row r="5" ht="32" customHeight="1" spans="1:12" x14ac:dyDescent="0.25">
      <c r="A5" s="30" t="s">
        <v>215</v>
      </c>
      <c r="B5" s="30" t="s">
        <v>107</v>
      </c>
      <c r="C5" s="31" t="s">
        <v>216</v>
      </c>
      <c r="D5" s="31" t="s">
        <v>217</v>
      </c>
      <c r="E5" s="31" t="s">
        <v>218</v>
      </c>
      <c r="F5" s="31" t="s">
        <v>219</v>
      </c>
      <c r="G5" s="31" t="s">
        <v>220</v>
      </c>
      <c r="H5" s="32" t="s">
        <v>113</v>
      </c>
      <c r="I5" s="33">
        <f>IF(OR(H5="Completed",H5="PASS"),1,IF(H5="In Progress",0.5,0))</f>
        <v>1</v>
      </c>
      <c r="J5" s="31" t="s">
        <v>221</v>
      </c>
      <c r="K5" s="30" t="s">
        <v>115</v>
      </c>
      <c r="L5" s="30" t="s">
        <v>116</v>
      </c>
    </row>
    <row r="6" ht="32" customHeight="1" spans="1:12" x14ac:dyDescent="0.25">
      <c r="A6" s="34" t="s">
        <v>222</v>
      </c>
      <c r="B6" s="34" t="s">
        <v>107</v>
      </c>
      <c r="C6" s="35" t="s">
        <v>216</v>
      </c>
      <c r="D6" s="35" t="s">
        <v>223</v>
      </c>
      <c r="E6" s="35" t="s">
        <v>224</v>
      </c>
      <c r="F6" s="35" t="s">
        <v>225</v>
      </c>
      <c r="G6" s="35" t="s">
        <v>220</v>
      </c>
      <c r="H6" s="32" t="s">
        <v>113</v>
      </c>
      <c r="I6" s="36">
        <f>IF(OR(H6="Completed",H6="PASS"),1,IF(H6="In Progress",0.5,0))</f>
        <v>1</v>
      </c>
      <c r="J6" s="35" t="s">
        <v>226</v>
      </c>
      <c r="K6" s="34" t="s">
        <v>115</v>
      </c>
      <c r="L6" s="34" t="s">
        <v>116</v>
      </c>
    </row>
    <row r="7" ht="32" customHeight="1" spans="1:12" x14ac:dyDescent="0.25">
      <c r="A7" s="30" t="s">
        <v>227</v>
      </c>
      <c r="B7" s="30" t="s">
        <v>107</v>
      </c>
      <c r="C7" s="31" t="s">
        <v>216</v>
      </c>
      <c r="D7" s="31" t="s">
        <v>228</v>
      </c>
      <c r="E7" s="31" t="s">
        <v>229</v>
      </c>
      <c r="F7" s="31" t="s">
        <v>230</v>
      </c>
      <c r="G7" s="31" t="s">
        <v>220</v>
      </c>
      <c r="H7" s="32" t="s">
        <v>113</v>
      </c>
      <c r="I7" s="33">
        <f>IF(OR(H7="Completed",H7="PASS"),1,IF(H7="In Progress",0.5,0))</f>
        <v>1</v>
      </c>
      <c r="J7" s="31" t="s">
        <v>231</v>
      </c>
      <c r="K7" s="30" t="s">
        <v>115</v>
      </c>
      <c r="L7" s="30" t="s">
        <v>116</v>
      </c>
    </row>
    <row r="8" ht="32" customHeight="1" spans="1:12" x14ac:dyDescent="0.25">
      <c r="A8" s="34" t="s">
        <v>232</v>
      </c>
      <c r="B8" s="34" t="s">
        <v>107</v>
      </c>
      <c r="C8" s="35" t="s">
        <v>216</v>
      </c>
      <c r="D8" s="35" t="s">
        <v>233</v>
      </c>
      <c r="E8" s="35" t="s">
        <v>234</v>
      </c>
      <c r="F8" s="35" t="s">
        <v>235</v>
      </c>
      <c r="G8" s="35" t="s">
        <v>220</v>
      </c>
      <c r="H8" s="32" t="s">
        <v>113</v>
      </c>
      <c r="I8" s="36">
        <f>IF(OR(H8="Completed",H8="PASS"),1,IF(H8="In Progress",0.5,0))</f>
        <v>1</v>
      </c>
      <c r="J8" s="35" t="s">
        <v>236</v>
      </c>
      <c r="K8" s="34" t="s">
        <v>115</v>
      </c>
      <c r="L8" s="34" t="s">
        <v>116</v>
      </c>
    </row>
    <row r="9" ht="32" customHeight="1" spans="1:12" x14ac:dyDescent="0.25">
      <c r="A9" s="30" t="s">
        <v>237</v>
      </c>
      <c r="B9" s="30" t="s">
        <v>107</v>
      </c>
      <c r="C9" s="31" t="s">
        <v>216</v>
      </c>
      <c r="D9" s="31" t="s">
        <v>238</v>
      </c>
      <c r="E9" s="31" t="s">
        <v>239</v>
      </c>
      <c r="F9" s="31" t="s">
        <v>240</v>
      </c>
      <c r="G9" s="31" t="s">
        <v>220</v>
      </c>
      <c r="H9" s="32" t="s">
        <v>113</v>
      </c>
      <c r="I9" s="33">
        <f>IF(OR(H9="Completed",H9="PASS"),1,IF(H9="In Progress",0.5,0))</f>
        <v>1</v>
      </c>
      <c r="J9" s="31" t="s">
        <v>241</v>
      </c>
      <c r="K9" s="30" t="s">
        <v>115</v>
      </c>
      <c r="L9" s="30" t="s">
        <v>116</v>
      </c>
    </row>
    <row r="10" ht="32" customHeight="1" spans="1:12" x14ac:dyDescent="0.25">
      <c r="A10" s="34" t="s">
        <v>242</v>
      </c>
      <c r="B10" s="34" t="s">
        <v>107</v>
      </c>
      <c r="C10" s="35" t="s">
        <v>216</v>
      </c>
      <c r="D10" s="35" t="s">
        <v>243</v>
      </c>
      <c r="E10" s="35" t="s">
        <v>244</v>
      </c>
      <c r="F10" s="35" t="s">
        <v>245</v>
      </c>
      <c r="G10" s="35" t="s">
        <v>246</v>
      </c>
      <c r="H10" s="32" t="s">
        <v>113</v>
      </c>
      <c r="I10" s="36">
        <f>IF(OR(H10="Completed",H10="PASS"),1,IF(H10="In Progress",0.5,0))</f>
        <v>1</v>
      </c>
      <c r="J10" s="35" t="s">
        <v>247</v>
      </c>
      <c r="K10" s="34" t="s">
        <v>115</v>
      </c>
      <c r="L10" s="34" t="s">
        <v>116</v>
      </c>
    </row>
    <row r="11" ht="32" customHeight="1" spans="1:12" x14ac:dyDescent="0.25">
      <c r="A11" s="30" t="s">
        <v>248</v>
      </c>
      <c r="B11" s="30" t="s">
        <v>107</v>
      </c>
      <c r="C11" s="31" t="s">
        <v>216</v>
      </c>
      <c r="D11" s="31" t="s">
        <v>249</v>
      </c>
      <c r="E11" s="31" t="s">
        <v>250</v>
      </c>
      <c r="F11" s="31" t="s">
        <v>251</v>
      </c>
      <c r="G11" s="31" t="s">
        <v>252</v>
      </c>
      <c r="H11" s="32" t="s">
        <v>113</v>
      </c>
      <c r="I11" s="33">
        <f>IF(OR(H11="Completed",H11="PASS"),1,IF(H11="In Progress",0.5,0))</f>
        <v>1</v>
      </c>
      <c r="J11" s="31" t="s">
        <v>253</v>
      </c>
      <c r="K11" s="30" t="s">
        <v>115</v>
      </c>
      <c r="L11" s="30" t="s">
        <v>116</v>
      </c>
    </row>
    <row r="12" ht="32" customHeight="1" spans="1:12" x14ac:dyDescent="0.25">
      <c r="A12" s="34" t="s">
        <v>254</v>
      </c>
      <c r="B12" s="34" t="s">
        <v>107</v>
      </c>
      <c r="C12" s="35" t="s">
        <v>255</v>
      </c>
      <c r="D12" s="35" t="s">
        <v>249</v>
      </c>
      <c r="E12" s="35" t="s">
        <v>256</v>
      </c>
      <c r="F12" s="35" t="s">
        <v>257</v>
      </c>
      <c r="G12" s="35" t="s">
        <v>258</v>
      </c>
      <c r="H12" s="32" t="s">
        <v>113</v>
      </c>
      <c r="I12" s="36">
        <f>IF(OR(H12="Completed",H12="PASS"),1,IF(H12="In Progress",0.5,0))</f>
        <v>1</v>
      </c>
      <c r="J12" s="35" t="s">
        <v>259</v>
      </c>
      <c r="K12" s="34" t="s">
        <v>115</v>
      </c>
      <c r="L12" s="34" t="s">
        <v>116</v>
      </c>
    </row>
  </sheetData>
  <mergeCells count="2">
    <mergeCell ref="A1:L1"/>
    <mergeCell ref="A2:L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workbookViewId="0"/>
  </sheetViews>
  <sheetFormatPr defaultRowHeight="15" outlineLevelRow="0" outlineLevelCol="0" x14ac:dyDescent="55"/>
  <cols>
    <col min="1" max="1" width="14" customWidth="1"/>
    <col min="2" max="2" width="12" customWidth="1"/>
    <col min="3" max="3" width="34" customWidth="1"/>
    <col min="4" max="4" width="36" customWidth="1"/>
    <col min="5" max="6" width="38" customWidth="1"/>
    <col min="7" max="7" width="28" customWidth="1"/>
    <col min="8" max="8" width="16" customWidth="1"/>
    <col min="9" max="9" width="12" customWidth="1"/>
    <col min="10" max="10" width="40" customWidth="1"/>
    <col min="11" max="11" width="16" customWidth="1"/>
    <col min="12" max="12" width="14" customWidth="1"/>
  </cols>
  <sheetData>
    <row r="1" ht="36" customHeight="1" spans="1:12" x14ac:dyDescent="0.25">
      <c r="A1" s="1" t="s">
        <v>260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 x14ac:dyDescent="0.25">
      <c r="A2" s="2" t="s">
        <v>261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10" customHeight="1" x14ac:dyDescent="0.25"/>
    <row r="4" ht="28" customHeight="1" spans="1:12" x14ac:dyDescent="0.25">
      <c r="A4" s="28" t="s">
        <v>96</v>
      </c>
      <c r="B4" s="28" t="s">
        <v>97</v>
      </c>
      <c r="C4" s="29" t="s">
        <v>98</v>
      </c>
      <c r="D4" s="29" t="s">
        <v>99</v>
      </c>
      <c r="E4" s="29" t="s">
        <v>100</v>
      </c>
      <c r="F4" s="29" t="s">
        <v>101</v>
      </c>
      <c r="G4" s="29" t="s">
        <v>102</v>
      </c>
      <c r="H4" s="28" t="s">
        <v>10</v>
      </c>
      <c r="I4" s="28" t="s">
        <v>17</v>
      </c>
      <c r="J4" s="29" t="s">
        <v>103</v>
      </c>
      <c r="K4" s="29" t="s">
        <v>104</v>
      </c>
      <c r="L4" s="29" t="s">
        <v>105</v>
      </c>
    </row>
    <row r="5" ht="32" customHeight="1" spans="1:12" x14ac:dyDescent="0.25">
      <c r="A5" s="30" t="s">
        <v>262</v>
      </c>
      <c r="B5" s="30" t="s">
        <v>107</v>
      </c>
      <c r="C5" s="31" t="s">
        <v>263</v>
      </c>
      <c r="D5" s="31" t="s">
        <v>264</v>
      </c>
      <c r="E5" s="31" t="s">
        <v>265</v>
      </c>
      <c r="F5" s="31" t="s">
        <v>266</v>
      </c>
      <c r="G5" s="31" t="s">
        <v>267</v>
      </c>
      <c r="H5" s="32" t="s">
        <v>113</v>
      </c>
      <c r="I5" s="33">
        <f>IF(OR(H5="Completed",H5="PASS"),1,IF(H5="In Progress",0.5,0))</f>
        <v>1</v>
      </c>
      <c r="J5" s="31" t="s">
        <v>268</v>
      </c>
      <c r="K5" s="30" t="s">
        <v>115</v>
      </c>
      <c r="L5" s="30" t="s">
        <v>116</v>
      </c>
    </row>
    <row r="6" ht="32" customHeight="1" spans="1:12" x14ac:dyDescent="0.25">
      <c r="A6" s="34" t="s">
        <v>269</v>
      </c>
      <c r="B6" s="34" t="s">
        <v>154</v>
      </c>
      <c r="C6" s="35" t="s">
        <v>270</v>
      </c>
      <c r="D6" s="35" t="s">
        <v>156</v>
      </c>
      <c r="E6" s="35" t="s">
        <v>271</v>
      </c>
      <c r="F6" s="35" t="s">
        <v>272</v>
      </c>
      <c r="G6" s="35" t="s">
        <v>273</v>
      </c>
      <c r="H6" s="32" t="s">
        <v>113</v>
      </c>
      <c r="I6" s="36">
        <f>IF(OR(H6="Completed",H6="PASS"),1,IF(H6="In Progress",0.5,0))</f>
        <v>1</v>
      </c>
      <c r="J6" s="35" t="s">
        <v>274</v>
      </c>
      <c r="K6" s="34" t="s">
        <v>115</v>
      </c>
      <c r="L6" s="34" t="s">
        <v>116</v>
      </c>
    </row>
    <row r="7" ht="32" customHeight="1" spans="1:12" x14ac:dyDescent="0.25">
      <c r="A7" s="30" t="s">
        <v>275</v>
      </c>
      <c r="B7" s="30" t="s">
        <v>154</v>
      </c>
      <c r="C7" s="31" t="s">
        <v>276</v>
      </c>
      <c r="D7" s="31" t="s">
        <v>156</v>
      </c>
      <c r="E7" s="31" t="s">
        <v>277</v>
      </c>
      <c r="F7" s="31" t="s">
        <v>278</v>
      </c>
      <c r="G7" s="31" t="s">
        <v>273</v>
      </c>
      <c r="H7" s="32" t="s">
        <v>113</v>
      </c>
      <c r="I7" s="33">
        <f>IF(OR(H7="Completed",H7="PASS"),1,IF(H7="In Progress",0.5,0))</f>
        <v>1</v>
      </c>
      <c r="J7" s="31" t="s">
        <v>279</v>
      </c>
      <c r="K7" s="30" t="s">
        <v>115</v>
      </c>
      <c r="L7" s="30" t="s">
        <v>116</v>
      </c>
    </row>
    <row r="8" ht="32" customHeight="1" spans="1:12" x14ac:dyDescent="0.25">
      <c r="A8" s="34" t="s">
        <v>280</v>
      </c>
      <c r="B8" s="34" t="s">
        <v>281</v>
      </c>
      <c r="C8" s="35" t="s">
        <v>276</v>
      </c>
      <c r="D8" s="35" t="s">
        <v>282</v>
      </c>
      <c r="E8" s="35" t="s">
        <v>283</v>
      </c>
      <c r="F8" s="35" t="s">
        <v>284</v>
      </c>
      <c r="G8" s="35" t="s">
        <v>285</v>
      </c>
      <c r="H8" s="32" t="s">
        <v>113</v>
      </c>
      <c r="I8" s="36">
        <f>IF(OR(H8="Completed",H8="PASS"),1,IF(H8="In Progress",0.5,0))</f>
        <v>1</v>
      </c>
      <c r="J8" s="35" t="s">
        <v>286</v>
      </c>
      <c r="K8" s="34" t="s">
        <v>115</v>
      </c>
      <c r="L8" s="34" t="s">
        <v>116</v>
      </c>
    </row>
    <row r="9" ht="32" customHeight="1" spans="1:12" x14ac:dyDescent="0.25">
      <c r="A9" s="30" t="s">
        <v>287</v>
      </c>
      <c r="B9" s="30" t="s">
        <v>107</v>
      </c>
      <c r="C9" s="31" t="s">
        <v>288</v>
      </c>
      <c r="D9" s="31" t="s">
        <v>156</v>
      </c>
      <c r="E9" s="31" t="s">
        <v>289</v>
      </c>
      <c r="F9" s="31" t="s">
        <v>290</v>
      </c>
      <c r="G9" s="31" t="s">
        <v>285</v>
      </c>
      <c r="H9" s="32" t="s">
        <v>113</v>
      </c>
      <c r="I9" s="33">
        <f>IF(OR(H9="Completed",H9="PASS"),1,IF(H9="In Progress",0.5,0))</f>
        <v>1</v>
      </c>
      <c r="J9" s="31" t="s">
        <v>291</v>
      </c>
      <c r="K9" s="30" t="s">
        <v>115</v>
      </c>
      <c r="L9" s="30" t="s">
        <v>116</v>
      </c>
    </row>
    <row r="10" ht="32" customHeight="1" spans="1:12" x14ac:dyDescent="0.25">
      <c r="A10" s="34" t="s">
        <v>292</v>
      </c>
      <c r="B10" s="34" t="s">
        <v>107</v>
      </c>
      <c r="C10" s="35" t="s">
        <v>293</v>
      </c>
      <c r="D10" s="35" t="s">
        <v>156</v>
      </c>
      <c r="E10" s="35" t="s">
        <v>294</v>
      </c>
      <c r="F10" s="35" t="s">
        <v>295</v>
      </c>
      <c r="G10" s="35" t="s">
        <v>296</v>
      </c>
      <c r="H10" s="32" t="s">
        <v>113</v>
      </c>
      <c r="I10" s="36">
        <f>IF(OR(H10="Completed",H10="PASS"),1,IF(H10="In Progress",0.5,0))</f>
        <v>1</v>
      </c>
      <c r="J10" s="35" t="s">
        <v>297</v>
      </c>
      <c r="K10" s="34" t="s">
        <v>115</v>
      </c>
      <c r="L10" s="34" t="s">
        <v>116</v>
      </c>
    </row>
    <row r="11" ht="32" customHeight="1" spans="1:12" x14ac:dyDescent="0.25">
      <c r="A11" s="30" t="s">
        <v>298</v>
      </c>
      <c r="B11" s="30" t="s">
        <v>107</v>
      </c>
      <c r="C11" s="31" t="s">
        <v>299</v>
      </c>
      <c r="D11" s="31" t="s">
        <v>156</v>
      </c>
      <c r="E11" s="31" t="s">
        <v>300</v>
      </c>
      <c r="F11" s="31" t="s">
        <v>301</v>
      </c>
      <c r="G11" s="31" t="s">
        <v>296</v>
      </c>
      <c r="H11" s="32" t="s">
        <v>113</v>
      </c>
      <c r="I11" s="33">
        <f>IF(OR(H11="Completed",H11="PASS"),1,IF(H11="In Progress",0.5,0))</f>
        <v>1</v>
      </c>
      <c r="J11" s="31" t="s">
        <v>302</v>
      </c>
      <c r="K11" s="30" t="s">
        <v>115</v>
      </c>
      <c r="L11" s="30" t="s">
        <v>116</v>
      </c>
    </row>
    <row r="12" ht="32" customHeight="1" spans="1:12" x14ac:dyDescent="0.25">
      <c r="A12" s="34" t="s">
        <v>303</v>
      </c>
      <c r="B12" s="34" t="s">
        <v>107</v>
      </c>
      <c r="C12" s="35" t="s">
        <v>304</v>
      </c>
      <c r="D12" s="35" t="s">
        <v>305</v>
      </c>
      <c r="E12" s="35" t="s">
        <v>306</v>
      </c>
      <c r="F12" s="35" t="s">
        <v>307</v>
      </c>
      <c r="G12" s="35" t="s">
        <v>308</v>
      </c>
      <c r="H12" s="32" t="s">
        <v>113</v>
      </c>
      <c r="I12" s="36">
        <f>IF(OR(H12="Completed",H12="PASS"),1,IF(H12="In Progress",0.5,0))</f>
        <v>1</v>
      </c>
      <c r="J12" s="35" t="s">
        <v>309</v>
      </c>
      <c r="K12" s="34" t="s">
        <v>115</v>
      </c>
      <c r="L12" s="34" t="s">
        <v>116</v>
      </c>
    </row>
    <row r="13" ht="32" customHeight="1" spans="1:12" x14ac:dyDescent="0.25">
      <c r="A13" s="30" t="s">
        <v>310</v>
      </c>
      <c r="B13" s="30" t="s">
        <v>281</v>
      </c>
      <c r="C13" s="31" t="s">
        <v>276</v>
      </c>
      <c r="D13" s="31" t="s">
        <v>311</v>
      </c>
      <c r="E13" s="31" t="s">
        <v>312</v>
      </c>
      <c r="F13" s="31" t="s">
        <v>313</v>
      </c>
      <c r="G13" s="31" t="s">
        <v>314</v>
      </c>
      <c r="H13" s="32" t="s">
        <v>113</v>
      </c>
      <c r="I13" s="33">
        <f>IF(OR(H13="Completed",H13="PASS"),1,IF(H13="In Progress",0.5,0))</f>
        <v>1</v>
      </c>
      <c r="J13" s="31" t="s">
        <v>315</v>
      </c>
      <c r="K13" s="30" t="s">
        <v>115</v>
      </c>
      <c r="L13" s="30" t="s">
        <v>116</v>
      </c>
    </row>
    <row r="14" ht="32" customHeight="1" spans="1:12" x14ac:dyDescent="0.25">
      <c r="A14" s="34" t="s">
        <v>316</v>
      </c>
      <c r="B14" s="34" t="s">
        <v>107</v>
      </c>
      <c r="C14" s="35" t="s">
        <v>317</v>
      </c>
      <c r="D14" s="35" t="s">
        <v>156</v>
      </c>
      <c r="E14" s="35" t="s">
        <v>318</v>
      </c>
      <c r="F14" s="35" t="s">
        <v>319</v>
      </c>
      <c r="G14" s="35" t="s">
        <v>320</v>
      </c>
      <c r="H14" s="32" t="s">
        <v>113</v>
      </c>
      <c r="I14" s="36">
        <f>IF(OR(H14="Completed",H14="PASS"),1,IF(H14="In Progress",0.5,0))</f>
        <v>1</v>
      </c>
      <c r="J14" s="35" t="s">
        <v>321</v>
      </c>
      <c r="K14" s="34" t="s">
        <v>115</v>
      </c>
      <c r="L14" s="34" t="s">
        <v>116</v>
      </c>
    </row>
    <row r="15" ht="32" customHeight="1" spans="1:12" x14ac:dyDescent="0.25">
      <c r="A15" s="30" t="s">
        <v>322</v>
      </c>
      <c r="B15" s="30" t="s">
        <v>107</v>
      </c>
      <c r="C15" s="31" t="s">
        <v>263</v>
      </c>
      <c r="D15" s="31" t="s">
        <v>323</v>
      </c>
      <c r="E15" s="31" t="s">
        <v>324</v>
      </c>
      <c r="F15" s="31" t="s">
        <v>325</v>
      </c>
      <c r="G15" s="31" t="s">
        <v>326</v>
      </c>
      <c r="H15" s="32" t="s">
        <v>113</v>
      </c>
      <c r="I15" s="33">
        <f>IF(OR(H15="Completed",H15="PASS"),1,IF(H15="In Progress",0.5,0))</f>
        <v>1</v>
      </c>
      <c r="J15" s="31" t="s">
        <v>327</v>
      </c>
      <c r="K15" s="30" t="s">
        <v>115</v>
      </c>
      <c r="L15" s="30" t="s">
        <v>116</v>
      </c>
    </row>
    <row r="16" ht="32" customHeight="1" spans="1:12" x14ac:dyDescent="0.25">
      <c r="A16" s="34" t="s">
        <v>328</v>
      </c>
      <c r="B16" s="34" t="s">
        <v>329</v>
      </c>
      <c r="C16" s="35" t="s">
        <v>276</v>
      </c>
      <c r="D16" s="35" t="s">
        <v>156</v>
      </c>
      <c r="E16" s="35" t="s">
        <v>330</v>
      </c>
      <c r="F16" s="35" t="s">
        <v>331</v>
      </c>
      <c r="G16" s="35" t="s">
        <v>332</v>
      </c>
      <c r="H16" s="32" t="s">
        <v>113</v>
      </c>
      <c r="I16" s="36">
        <f>IF(OR(H16="Completed",H16="PASS"),1,IF(H16="In Progress",0.5,0))</f>
        <v>1</v>
      </c>
      <c r="J16" s="35" t="s">
        <v>333</v>
      </c>
      <c r="K16" s="34" t="s">
        <v>115</v>
      </c>
      <c r="L16" s="34" t="s">
        <v>116</v>
      </c>
    </row>
  </sheetData>
  <mergeCells count="2">
    <mergeCell ref="A1:L1"/>
    <mergeCell ref="A2:L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"/>
  <sheetViews>
    <sheetView workbookViewId="0"/>
  </sheetViews>
  <sheetFormatPr defaultRowHeight="15" outlineLevelRow="0" outlineLevelCol="0" x14ac:dyDescent="55"/>
  <cols>
    <col min="1" max="1" width="14" customWidth="1"/>
    <col min="2" max="2" width="12" customWidth="1"/>
    <col min="3" max="3" width="34" customWidth="1"/>
    <col min="4" max="4" width="36" customWidth="1"/>
    <col min="5" max="6" width="38" customWidth="1"/>
    <col min="7" max="7" width="28" customWidth="1"/>
    <col min="8" max="8" width="16" customWidth="1"/>
    <col min="9" max="9" width="12" customWidth="1"/>
    <col min="10" max="10" width="40" customWidth="1"/>
    <col min="11" max="11" width="16" customWidth="1"/>
    <col min="12" max="12" width="14" customWidth="1"/>
  </cols>
  <sheetData>
    <row r="1" ht="36" customHeight="1" spans="1:12" x14ac:dyDescent="0.25">
      <c r="A1" s="1" t="s">
        <v>334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 x14ac:dyDescent="0.25">
      <c r="A2" s="2" t="s">
        <v>335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10" customHeight="1" x14ac:dyDescent="0.25"/>
    <row r="4" ht="28" customHeight="1" spans="1:12" x14ac:dyDescent="0.25">
      <c r="A4" s="28" t="s">
        <v>96</v>
      </c>
      <c r="B4" s="28" t="s">
        <v>97</v>
      </c>
      <c r="C4" s="29" t="s">
        <v>98</v>
      </c>
      <c r="D4" s="29" t="s">
        <v>99</v>
      </c>
      <c r="E4" s="29" t="s">
        <v>100</v>
      </c>
      <c r="F4" s="29" t="s">
        <v>101</v>
      </c>
      <c r="G4" s="29" t="s">
        <v>102</v>
      </c>
      <c r="H4" s="28" t="s">
        <v>10</v>
      </c>
      <c r="I4" s="28" t="s">
        <v>17</v>
      </c>
      <c r="J4" s="29" t="s">
        <v>103</v>
      </c>
      <c r="K4" s="29" t="s">
        <v>104</v>
      </c>
      <c r="L4" s="29" t="s">
        <v>105</v>
      </c>
    </row>
    <row r="5" ht="32" customHeight="1" spans="1:12" x14ac:dyDescent="0.25">
      <c r="A5" s="30" t="s">
        <v>336</v>
      </c>
      <c r="B5" s="30" t="s">
        <v>107</v>
      </c>
      <c r="C5" s="31" t="s">
        <v>216</v>
      </c>
      <c r="D5" s="31" t="s">
        <v>337</v>
      </c>
      <c r="E5" s="31" t="s">
        <v>338</v>
      </c>
      <c r="F5" s="31" t="s">
        <v>339</v>
      </c>
      <c r="G5" s="31" t="s">
        <v>340</v>
      </c>
      <c r="H5" s="32" t="s">
        <v>113</v>
      </c>
      <c r="I5" s="33">
        <f>IF(OR(H5="Completed",H5="PASS"),1,IF(H5="In Progress",0.5,0))</f>
        <v>1</v>
      </c>
      <c r="J5" s="31" t="s">
        <v>341</v>
      </c>
      <c r="K5" s="30" t="s">
        <v>115</v>
      </c>
      <c r="L5" s="30" t="s">
        <v>116</v>
      </c>
    </row>
    <row r="6" ht="32" customHeight="1" spans="1:12" x14ac:dyDescent="0.25">
      <c r="A6" s="34" t="s">
        <v>342</v>
      </c>
      <c r="B6" s="34" t="s">
        <v>107</v>
      </c>
      <c r="C6" s="35" t="s">
        <v>216</v>
      </c>
      <c r="D6" s="35" t="s">
        <v>343</v>
      </c>
      <c r="E6" s="35" t="s">
        <v>344</v>
      </c>
      <c r="F6" s="35" t="s">
        <v>345</v>
      </c>
      <c r="G6" s="35" t="s">
        <v>346</v>
      </c>
      <c r="H6" s="32" t="s">
        <v>113</v>
      </c>
      <c r="I6" s="36">
        <f>IF(OR(H6="Completed",H6="PASS"),1,IF(H6="In Progress",0.5,0))</f>
        <v>1</v>
      </c>
      <c r="J6" s="35" t="s">
        <v>347</v>
      </c>
      <c r="K6" s="34" t="s">
        <v>115</v>
      </c>
      <c r="L6" s="34" t="s">
        <v>116</v>
      </c>
    </row>
    <row r="7" ht="32" customHeight="1" spans="1:12" x14ac:dyDescent="0.25">
      <c r="A7" s="30" t="s">
        <v>348</v>
      </c>
      <c r="B7" s="30" t="s">
        <v>107</v>
      </c>
      <c r="C7" s="31" t="s">
        <v>216</v>
      </c>
      <c r="D7" s="31" t="s">
        <v>349</v>
      </c>
      <c r="E7" s="31" t="s">
        <v>350</v>
      </c>
      <c r="F7" s="31" t="s">
        <v>351</v>
      </c>
      <c r="G7" s="31" t="s">
        <v>352</v>
      </c>
      <c r="H7" s="32" t="s">
        <v>113</v>
      </c>
      <c r="I7" s="33">
        <f>IF(OR(H7="Completed",H7="PASS"),1,IF(H7="In Progress",0.5,0))</f>
        <v>1</v>
      </c>
      <c r="J7" s="31" t="s">
        <v>353</v>
      </c>
      <c r="K7" s="30" t="s">
        <v>115</v>
      </c>
      <c r="L7" s="30" t="s">
        <v>116</v>
      </c>
    </row>
    <row r="8" ht="32" customHeight="1" spans="1:12" x14ac:dyDescent="0.25">
      <c r="A8" s="34" t="s">
        <v>354</v>
      </c>
      <c r="B8" s="34" t="s">
        <v>107</v>
      </c>
      <c r="C8" s="35" t="s">
        <v>216</v>
      </c>
      <c r="D8" s="35" t="s">
        <v>355</v>
      </c>
      <c r="E8" s="35" t="s">
        <v>356</v>
      </c>
      <c r="F8" s="35" t="s">
        <v>357</v>
      </c>
      <c r="G8" s="35" t="s">
        <v>358</v>
      </c>
      <c r="H8" s="32" t="s">
        <v>113</v>
      </c>
      <c r="I8" s="36">
        <f>IF(OR(H8="Completed",H8="PASS"),1,IF(H8="In Progress",0.5,0))</f>
        <v>1</v>
      </c>
      <c r="J8" s="35" t="s">
        <v>359</v>
      </c>
      <c r="K8" s="34" t="s">
        <v>115</v>
      </c>
      <c r="L8" s="34" t="s">
        <v>116</v>
      </c>
    </row>
    <row r="9" ht="32" customHeight="1" spans="1:12" x14ac:dyDescent="0.25">
      <c r="A9" s="30" t="s">
        <v>360</v>
      </c>
      <c r="B9" s="30" t="s">
        <v>107</v>
      </c>
      <c r="C9" s="31" t="s">
        <v>216</v>
      </c>
      <c r="D9" s="31" t="s">
        <v>361</v>
      </c>
      <c r="E9" s="31" t="s">
        <v>362</v>
      </c>
      <c r="F9" s="31" t="s">
        <v>363</v>
      </c>
      <c r="G9" s="31" t="s">
        <v>364</v>
      </c>
      <c r="H9" s="32" t="s">
        <v>113</v>
      </c>
      <c r="I9" s="33">
        <f>IF(OR(H9="Completed",H9="PASS"),1,IF(H9="In Progress",0.5,0))</f>
        <v>1</v>
      </c>
      <c r="J9" s="31" t="s">
        <v>365</v>
      </c>
      <c r="K9" s="30" t="s">
        <v>115</v>
      </c>
      <c r="L9" s="30" t="s">
        <v>116</v>
      </c>
    </row>
    <row r="10" ht="32" customHeight="1" spans="1:12" x14ac:dyDescent="0.25">
      <c r="A10" s="34" t="s">
        <v>366</v>
      </c>
      <c r="B10" s="34" t="s">
        <v>107</v>
      </c>
      <c r="C10" s="35" t="s">
        <v>216</v>
      </c>
      <c r="D10" s="35" t="s">
        <v>367</v>
      </c>
      <c r="E10" s="35" t="s">
        <v>368</v>
      </c>
      <c r="F10" s="35" t="s">
        <v>369</v>
      </c>
      <c r="G10" s="35" t="s">
        <v>370</v>
      </c>
      <c r="H10" s="32" t="s">
        <v>113</v>
      </c>
      <c r="I10" s="36">
        <f>IF(OR(H10="Completed",H10="PASS"),1,IF(H10="In Progress",0.5,0))</f>
        <v>1</v>
      </c>
      <c r="J10" s="35" t="s">
        <v>371</v>
      </c>
      <c r="K10" s="34" t="s">
        <v>115</v>
      </c>
      <c r="L10" s="34" t="s">
        <v>116</v>
      </c>
    </row>
    <row r="11" ht="32" customHeight="1" spans="1:12" x14ac:dyDescent="0.25">
      <c r="A11" s="30" t="s">
        <v>372</v>
      </c>
      <c r="B11" s="30" t="s">
        <v>373</v>
      </c>
      <c r="C11" s="31" t="s">
        <v>374</v>
      </c>
      <c r="D11" s="31" t="s">
        <v>375</v>
      </c>
      <c r="E11" s="31" t="s">
        <v>376</v>
      </c>
      <c r="F11" s="31" t="s">
        <v>377</v>
      </c>
      <c r="G11" s="31" t="s">
        <v>378</v>
      </c>
      <c r="H11" s="32" t="s">
        <v>113</v>
      </c>
      <c r="I11" s="33">
        <f>IF(OR(H11="Completed",H11="PASS"),1,IF(H11="In Progress",0.5,0))</f>
        <v>1</v>
      </c>
      <c r="J11" s="31" t="s">
        <v>379</v>
      </c>
      <c r="K11" s="30" t="s">
        <v>115</v>
      </c>
      <c r="L11" s="30" t="s">
        <v>116</v>
      </c>
    </row>
    <row r="12" ht="32" customHeight="1" spans="1:12" x14ac:dyDescent="0.25">
      <c r="A12" s="34" t="s">
        <v>380</v>
      </c>
      <c r="B12" s="34" t="s">
        <v>373</v>
      </c>
      <c r="C12" s="35" t="s">
        <v>374</v>
      </c>
      <c r="D12" s="35" t="s">
        <v>381</v>
      </c>
      <c r="E12" s="35" t="s">
        <v>382</v>
      </c>
      <c r="F12" s="35" t="s">
        <v>383</v>
      </c>
      <c r="G12" s="35" t="s">
        <v>384</v>
      </c>
      <c r="H12" s="32" t="s">
        <v>113</v>
      </c>
      <c r="I12" s="36">
        <f>IF(OR(H12="Completed",H12="PASS"),1,IF(H12="In Progress",0.5,0))</f>
        <v>1</v>
      </c>
      <c r="J12" s="35" t="s">
        <v>385</v>
      </c>
      <c r="K12" s="34" t="s">
        <v>115</v>
      </c>
      <c r="L12" s="34" t="s">
        <v>116</v>
      </c>
    </row>
  </sheetData>
  <mergeCells count="2">
    <mergeCell ref="A1:L1"/>
    <mergeCell ref="A2:L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Views>
    <sheetView workbookViewId="0"/>
  </sheetViews>
  <sheetFormatPr defaultRowHeight="15" outlineLevelRow="0" outlineLevelCol="0" x14ac:dyDescent="55"/>
  <cols>
    <col min="1" max="1" width="14" customWidth="1"/>
    <col min="2" max="2" width="12" customWidth="1"/>
    <col min="3" max="3" width="34" customWidth="1"/>
    <col min="4" max="4" width="36" customWidth="1"/>
    <col min="5" max="6" width="38" customWidth="1"/>
    <col min="7" max="7" width="28" customWidth="1"/>
    <col min="8" max="8" width="16" customWidth="1"/>
    <col min="9" max="9" width="12" customWidth="1"/>
    <col min="10" max="10" width="40" customWidth="1"/>
    <col min="11" max="11" width="16" customWidth="1"/>
    <col min="12" max="12" width="14" customWidth="1"/>
  </cols>
  <sheetData>
    <row r="1" ht="36" customHeight="1" spans="1:12" x14ac:dyDescent="0.25">
      <c r="A1" s="1" t="s">
        <v>386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 x14ac:dyDescent="0.25">
      <c r="A2" s="2" t="s">
        <v>387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10" customHeight="1" x14ac:dyDescent="0.25"/>
    <row r="4" ht="28" customHeight="1" spans="1:12" x14ac:dyDescent="0.25">
      <c r="A4" s="28" t="s">
        <v>96</v>
      </c>
      <c r="B4" s="28" t="s">
        <v>97</v>
      </c>
      <c r="C4" s="29" t="s">
        <v>98</v>
      </c>
      <c r="D4" s="29" t="s">
        <v>99</v>
      </c>
      <c r="E4" s="29" t="s">
        <v>100</v>
      </c>
      <c r="F4" s="29" t="s">
        <v>101</v>
      </c>
      <c r="G4" s="29" t="s">
        <v>102</v>
      </c>
      <c r="H4" s="28" t="s">
        <v>10</v>
      </c>
      <c r="I4" s="28" t="s">
        <v>17</v>
      </c>
      <c r="J4" s="29" t="s">
        <v>103</v>
      </c>
      <c r="K4" s="29" t="s">
        <v>104</v>
      </c>
      <c r="L4" s="29" t="s">
        <v>105</v>
      </c>
    </row>
    <row r="5" ht="32" customHeight="1" spans="1:12" x14ac:dyDescent="0.25">
      <c r="A5" s="30" t="s">
        <v>388</v>
      </c>
      <c r="B5" s="30" t="s">
        <v>107</v>
      </c>
      <c r="C5" s="31" t="s">
        <v>304</v>
      </c>
      <c r="D5" s="31" t="s">
        <v>305</v>
      </c>
      <c r="E5" s="31" t="s">
        <v>389</v>
      </c>
      <c r="F5" s="31" t="s">
        <v>390</v>
      </c>
      <c r="G5" s="31" t="s">
        <v>391</v>
      </c>
      <c r="H5" s="32" t="s">
        <v>113</v>
      </c>
      <c r="I5" s="33">
        <f>IF(OR(H5="Completed",H5="PASS"),1,IF(H5="In Progress",0.5,0))</f>
        <v>1</v>
      </c>
      <c r="J5" s="31" t="s">
        <v>392</v>
      </c>
      <c r="K5" s="30" t="s">
        <v>115</v>
      </c>
      <c r="L5" s="30" t="s">
        <v>116</v>
      </c>
    </row>
    <row r="6" ht="32" customHeight="1" spans="1:12" x14ac:dyDescent="0.25">
      <c r="A6" s="34" t="s">
        <v>393</v>
      </c>
      <c r="B6" s="34" t="s">
        <v>154</v>
      </c>
      <c r="C6" s="35" t="s">
        <v>394</v>
      </c>
      <c r="D6" s="35" t="s">
        <v>156</v>
      </c>
      <c r="E6" s="35" t="s">
        <v>395</v>
      </c>
      <c r="F6" s="35" t="s">
        <v>396</v>
      </c>
      <c r="G6" s="35" t="s">
        <v>397</v>
      </c>
      <c r="H6" s="32" t="s">
        <v>113</v>
      </c>
      <c r="I6" s="36">
        <f>IF(OR(H6="Completed",H6="PASS"),1,IF(H6="In Progress",0.5,0))</f>
        <v>1</v>
      </c>
      <c r="J6" s="35" t="s">
        <v>398</v>
      </c>
      <c r="K6" s="34" t="s">
        <v>115</v>
      </c>
      <c r="L6" s="34" t="s">
        <v>116</v>
      </c>
    </row>
    <row r="7" ht="32" customHeight="1" spans="1:12" x14ac:dyDescent="0.25">
      <c r="A7" s="30" t="s">
        <v>399</v>
      </c>
      <c r="B7" s="30" t="s">
        <v>154</v>
      </c>
      <c r="C7" s="31" t="s">
        <v>400</v>
      </c>
      <c r="D7" s="31" t="s">
        <v>156</v>
      </c>
      <c r="E7" s="31" t="s">
        <v>401</v>
      </c>
      <c r="F7" s="31" t="s">
        <v>402</v>
      </c>
      <c r="G7" s="31" t="s">
        <v>397</v>
      </c>
      <c r="H7" s="32" t="s">
        <v>113</v>
      </c>
      <c r="I7" s="33">
        <f>IF(OR(H7="Completed",H7="PASS"),1,IF(H7="In Progress",0.5,0))</f>
        <v>1</v>
      </c>
      <c r="J7" s="31" t="s">
        <v>403</v>
      </c>
      <c r="K7" s="30" t="s">
        <v>115</v>
      </c>
      <c r="L7" s="30" t="s">
        <v>116</v>
      </c>
    </row>
    <row r="8" ht="32" customHeight="1" spans="1:12" x14ac:dyDescent="0.25">
      <c r="A8" s="34" t="s">
        <v>404</v>
      </c>
      <c r="B8" s="34" t="s">
        <v>154</v>
      </c>
      <c r="C8" s="35" t="s">
        <v>405</v>
      </c>
      <c r="D8" s="35" t="s">
        <v>156</v>
      </c>
      <c r="E8" s="35" t="s">
        <v>406</v>
      </c>
      <c r="F8" s="35" t="s">
        <v>407</v>
      </c>
      <c r="G8" s="35" t="s">
        <v>408</v>
      </c>
      <c r="H8" s="32" t="s">
        <v>113</v>
      </c>
      <c r="I8" s="36">
        <f>IF(OR(H8="Completed",H8="PASS"),1,IF(H8="In Progress",0.5,0))</f>
        <v>1</v>
      </c>
      <c r="J8" s="35" t="s">
        <v>409</v>
      </c>
      <c r="K8" s="34" t="s">
        <v>115</v>
      </c>
      <c r="L8" s="34" t="s">
        <v>116</v>
      </c>
    </row>
    <row r="9" ht="32" customHeight="1" spans="1:12" x14ac:dyDescent="0.25">
      <c r="A9" s="30" t="s">
        <v>410</v>
      </c>
      <c r="B9" s="30" t="s">
        <v>107</v>
      </c>
      <c r="C9" s="31" t="s">
        <v>304</v>
      </c>
      <c r="D9" s="31" t="s">
        <v>411</v>
      </c>
      <c r="E9" s="31" t="s">
        <v>412</v>
      </c>
      <c r="F9" s="31" t="s">
        <v>413</v>
      </c>
      <c r="G9" s="31" t="s">
        <v>414</v>
      </c>
      <c r="H9" s="32" t="s">
        <v>113</v>
      </c>
      <c r="I9" s="33">
        <f>IF(OR(H9="Completed",H9="PASS"),1,IF(H9="In Progress",0.5,0))</f>
        <v>1</v>
      </c>
      <c r="J9" s="31" t="s">
        <v>415</v>
      </c>
      <c r="K9" s="30" t="s">
        <v>115</v>
      </c>
      <c r="L9" s="30" t="s">
        <v>116</v>
      </c>
    </row>
    <row r="10" ht="32" customHeight="1" spans="1:12" x14ac:dyDescent="0.25">
      <c r="A10" s="34" t="s">
        <v>416</v>
      </c>
      <c r="B10" s="34" t="s">
        <v>154</v>
      </c>
      <c r="C10" s="35" t="s">
        <v>276</v>
      </c>
      <c r="D10" s="35" t="s">
        <v>156</v>
      </c>
      <c r="E10" s="35" t="s">
        <v>417</v>
      </c>
      <c r="F10" s="35" t="s">
        <v>418</v>
      </c>
      <c r="G10" s="35" t="s">
        <v>419</v>
      </c>
      <c r="H10" s="32" t="s">
        <v>113</v>
      </c>
      <c r="I10" s="36">
        <f>IF(OR(H10="Completed",H10="PASS"),1,IF(H10="In Progress",0.5,0))</f>
        <v>1</v>
      </c>
      <c r="J10" s="35" t="s">
        <v>420</v>
      </c>
      <c r="K10" s="34" t="s">
        <v>115</v>
      </c>
      <c r="L10" s="34" t="s">
        <v>116</v>
      </c>
    </row>
  </sheetData>
  <mergeCells count="2">
    <mergeCell ref="A1:L1"/>
    <mergeCell ref="A2:L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workbookViewId="0"/>
  </sheetViews>
  <sheetFormatPr defaultRowHeight="15" outlineLevelRow="0" outlineLevelCol="0" x14ac:dyDescent="55"/>
  <cols>
    <col min="1" max="1" width="14" customWidth="1"/>
    <col min="2" max="2" width="12" customWidth="1"/>
    <col min="3" max="3" width="34" customWidth="1"/>
    <col min="4" max="4" width="36" customWidth="1"/>
    <col min="5" max="6" width="38" customWidth="1"/>
    <col min="7" max="7" width="28" customWidth="1"/>
    <col min="8" max="8" width="16" customWidth="1"/>
    <col min="9" max="9" width="12" customWidth="1"/>
    <col min="10" max="10" width="40" customWidth="1"/>
    <col min="11" max="11" width="16" customWidth="1"/>
    <col min="12" max="12" width="14" customWidth="1"/>
  </cols>
  <sheetData>
    <row r="1" ht="36" customHeight="1" spans="1:12" x14ac:dyDescent="0.25">
      <c r="A1" s="1" t="s">
        <v>421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 x14ac:dyDescent="0.25">
      <c r="A2" s="2" t="s">
        <v>422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10" customHeight="1" x14ac:dyDescent="0.25"/>
    <row r="4" ht="28" customHeight="1" spans="1:12" x14ac:dyDescent="0.25">
      <c r="A4" s="28" t="s">
        <v>96</v>
      </c>
      <c r="B4" s="28" t="s">
        <v>97</v>
      </c>
      <c r="C4" s="29" t="s">
        <v>98</v>
      </c>
      <c r="D4" s="29" t="s">
        <v>99</v>
      </c>
      <c r="E4" s="29" t="s">
        <v>100</v>
      </c>
      <c r="F4" s="29" t="s">
        <v>101</v>
      </c>
      <c r="G4" s="29" t="s">
        <v>102</v>
      </c>
      <c r="H4" s="28" t="s">
        <v>10</v>
      </c>
      <c r="I4" s="28" t="s">
        <v>17</v>
      </c>
      <c r="J4" s="29" t="s">
        <v>103</v>
      </c>
      <c r="K4" s="29" t="s">
        <v>104</v>
      </c>
      <c r="L4" s="29" t="s">
        <v>105</v>
      </c>
    </row>
    <row r="5" ht="32" customHeight="1" spans="1:12" x14ac:dyDescent="0.25">
      <c r="A5" s="30" t="s">
        <v>423</v>
      </c>
      <c r="B5" s="30" t="s">
        <v>107</v>
      </c>
      <c r="C5" s="31" t="s">
        <v>424</v>
      </c>
      <c r="D5" s="31" t="s">
        <v>425</v>
      </c>
      <c r="E5" s="31" t="s">
        <v>426</v>
      </c>
      <c r="F5" s="31" t="s">
        <v>427</v>
      </c>
      <c r="G5" s="31" t="s">
        <v>428</v>
      </c>
      <c r="H5" s="32" t="s">
        <v>113</v>
      </c>
      <c r="I5" s="33">
        <f>IF(OR(H5="Completed",H5="PASS"),1,IF(H5="In Progress",0.5,0))</f>
        <v>1</v>
      </c>
      <c r="J5" s="31" t="s">
        <v>429</v>
      </c>
      <c r="K5" s="30" t="s">
        <v>115</v>
      </c>
      <c r="L5" s="30" t="s">
        <v>116</v>
      </c>
    </row>
    <row r="6" ht="32" customHeight="1" spans="1:12" x14ac:dyDescent="0.25">
      <c r="A6" s="34" t="s">
        <v>430</v>
      </c>
      <c r="B6" s="34" t="s">
        <v>107</v>
      </c>
      <c r="C6" s="35" t="s">
        <v>431</v>
      </c>
      <c r="D6" s="35" t="s">
        <v>156</v>
      </c>
      <c r="E6" s="35" t="s">
        <v>432</v>
      </c>
      <c r="F6" s="35" t="s">
        <v>433</v>
      </c>
      <c r="G6" s="35" t="s">
        <v>434</v>
      </c>
      <c r="H6" s="32" t="s">
        <v>113</v>
      </c>
      <c r="I6" s="36">
        <f>IF(OR(H6="Completed",H6="PASS"),1,IF(H6="In Progress",0.5,0))</f>
        <v>1</v>
      </c>
      <c r="J6" s="35" t="s">
        <v>435</v>
      </c>
      <c r="K6" s="34" t="s">
        <v>115</v>
      </c>
      <c r="L6" s="34" t="s">
        <v>116</v>
      </c>
    </row>
    <row r="7" ht="32" customHeight="1" spans="1:12" x14ac:dyDescent="0.25">
      <c r="A7" s="30" t="s">
        <v>436</v>
      </c>
      <c r="B7" s="30" t="s">
        <v>154</v>
      </c>
      <c r="C7" s="31" t="s">
        <v>394</v>
      </c>
      <c r="D7" s="31" t="s">
        <v>156</v>
      </c>
      <c r="E7" s="31" t="s">
        <v>437</v>
      </c>
      <c r="F7" s="31" t="s">
        <v>438</v>
      </c>
      <c r="G7" s="31" t="s">
        <v>439</v>
      </c>
      <c r="H7" s="32" t="s">
        <v>113</v>
      </c>
      <c r="I7" s="33">
        <f>IF(OR(H7="Completed",H7="PASS"),1,IF(H7="In Progress",0.5,0))</f>
        <v>1</v>
      </c>
      <c r="J7" s="31" t="s">
        <v>440</v>
      </c>
      <c r="K7" s="30" t="s">
        <v>115</v>
      </c>
      <c r="L7" s="30" t="s">
        <v>116</v>
      </c>
    </row>
    <row r="8" ht="32" customHeight="1" spans="1:12" x14ac:dyDescent="0.25">
      <c r="A8" s="34" t="s">
        <v>441</v>
      </c>
      <c r="B8" s="34" t="s">
        <v>154</v>
      </c>
      <c r="C8" s="35" t="s">
        <v>442</v>
      </c>
      <c r="D8" s="35" t="s">
        <v>156</v>
      </c>
      <c r="E8" s="35" t="s">
        <v>443</v>
      </c>
      <c r="F8" s="35" t="s">
        <v>444</v>
      </c>
      <c r="G8" s="35" t="s">
        <v>445</v>
      </c>
      <c r="H8" s="32" t="s">
        <v>113</v>
      </c>
      <c r="I8" s="36">
        <f>IF(OR(H8="Completed",H8="PASS"),1,IF(H8="In Progress",0.5,0))</f>
        <v>1</v>
      </c>
      <c r="J8" s="35" t="s">
        <v>446</v>
      </c>
      <c r="K8" s="34" t="s">
        <v>115</v>
      </c>
      <c r="L8" s="34" t="s">
        <v>116</v>
      </c>
    </row>
    <row r="9" ht="32" customHeight="1" spans="1:12" x14ac:dyDescent="0.25">
      <c r="A9" s="30" t="s">
        <v>447</v>
      </c>
      <c r="B9" s="30" t="s">
        <v>154</v>
      </c>
      <c r="C9" s="31" t="s">
        <v>405</v>
      </c>
      <c r="D9" s="31" t="s">
        <v>156</v>
      </c>
      <c r="E9" s="31" t="s">
        <v>448</v>
      </c>
      <c r="F9" s="31" t="s">
        <v>449</v>
      </c>
      <c r="G9" s="31" t="s">
        <v>408</v>
      </c>
      <c r="H9" s="32" t="s">
        <v>113</v>
      </c>
      <c r="I9" s="33">
        <f>IF(OR(H9="Completed",H9="PASS"),1,IF(H9="In Progress",0.5,0))</f>
        <v>1</v>
      </c>
      <c r="J9" s="31" t="s">
        <v>450</v>
      </c>
      <c r="K9" s="30" t="s">
        <v>115</v>
      </c>
      <c r="L9" s="30" t="s">
        <v>116</v>
      </c>
    </row>
    <row r="10" ht="32" customHeight="1" spans="1:12" x14ac:dyDescent="0.25">
      <c r="A10" s="34" t="s">
        <v>451</v>
      </c>
      <c r="B10" s="34" t="s">
        <v>107</v>
      </c>
      <c r="C10" s="35" t="s">
        <v>424</v>
      </c>
      <c r="D10" s="35" t="s">
        <v>452</v>
      </c>
      <c r="E10" s="35" t="s">
        <v>453</v>
      </c>
      <c r="F10" s="35" t="s">
        <v>454</v>
      </c>
      <c r="G10" s="35" t="s">
        <v>455</v>
      </c>
      <c r="H10" s="32" t="s">
        <v>113</v>
      </c>
      <c r="I10" s="36">
        <f>IF(OR(H10="Completed",H10="PASS"),1,IF(H10="In Progress",0.5,0))</f>
        <v>1</v>
      </c>
      <c r="J10" s="35" t="s">
        <v>456</v>
      </c>
      <c r="K10" s="34" t="s">
        <v>115</v>
      </c>
      <c r="L10" s="34" t="s">
        <v>116</v>
      </c>
    </row>
    <row r="11" ht="32" customHeight="1" spans="1:12" x14ac:dyDescent="0.25">
      <c r="A11" s="30" t="s">
        <v>457</v>
      </c>
      <c r="B11" s="30" t="s">
        <v>107</v>
      </c>
      <c r="C11" s="31" t="s">
        <v>458</v>
      </c>
      <c r="D11" s="31" t="s">
        <v>459</v>
      </c>
      <c r="E11" s="31" t="s">
        <v>460</v>
      </c>
      <c r="F11" s="31" t="s">
        <v>461</v>
      </c>
      <c r="G11" s="31" t="s">
        <v>462</v>
      </c>
      <c r="H11" s="32" t="s">
        <v>113</v>
      </c>
      <c r="I11" s="33">
        <f>IF(OR(H11="Completed",H11="PASS"),1,IF(H11="In Progress",0.5,0))</f>
        <v>1</v>
      </c>
      <c r="J11" s="31" t="s">
        <v>463</v>
      </c>
      <c r="K11" s="30" t="s">
        <v>115</v>
      </c>
      <c r="L11" s="30" t="s">
        <v>116</v>
      </c>
    </row>
    <row r="12" ht="32" customHeight="1" spans="1:12" x14ac:dyDescent="0.25">
      <c r="A12" s="34" t="s">
        <v>464</v>
      </c>
      <c r="B12" s="34" t="s">
        <v>107</v>
      </c>
      <c r="C12" s="35" t="s">
        <v>458</v>
      </c>
      <c r="D12" s="35" t="s">
        <v>465</v>
      </c>
      <c r="E12" s="35" t="s">
        <v>466</v>
      </c>
      <c r="F12" s="35" t="s">
        <v>467</v>
      </c>
      <c r="G12" s="35" t="s">
        <v>462</v>
      </c>
      <c r="H12" s="32" t="s">
        <v>113</v>
      </c>
      <c r="I12" s="36">
        <f>IF(OR(H12="Completed",H12="PASS"),1,IF(H12="In Progress",0.5,0))</f>
        <v>1</v>
      </c>
      <c r="J12" s="35" t="s">
        <v>468</v>
      </c>
      <c r="K12" s="34" t="s">
        <v>115</v>
      </c>
      <c r="L12" s="34" t="s">
        <v>116</v>
      </c>
    </row>
    <row r="13" ht="32" customHeight="1" spans="1:12" x14ac:dyDescent="0.25">
      <c r="A13" s="30" t="s">
        <v>469</v>
      </c>
      <c r="B13" s="30" t="s">
        <v>107</v>
      </c>
      <c r="C13" s="31" t="s">
        <v>431</v>
      </c>
      <c r="D13" s="31" t="s">
        <v>156</v>
      </c>
      <c r="E13" s="31" t="s">
        <v>470</v>
      </c>
      <c r="F13" s="31" t="s">
        <v>471</v>
      </c>
      <c r="G13" s="31" t="s">
        <v>472</v>
      </c>
      <c r="H13" s="32" t="s">
        <v>113</v>
      </c>
      <c r="I13" s="33">
        <f>IF(OR(H13="Completed",H13="PASS"),1,IF(H13="In Progress",0.5,0))</f>
        <v>1</v>
      </c>
      <c r="J13" s="31" t="s">
        <v>473</v>
      </c>
      <c r="K13" s="30" t="s">
        <v>115</v>
      </c>
      <c r="L13" s="30" t="s">
        <v>116</v>
      </c>
    </row>
    <row r="14" ht="32" customHeight="1" spans="1:12" x14ac:dyDescent="0.25">
      <c r="A14" s="34" t="s">
        <v>474</v>
      </c>
      <c r="B14" s="34" t="s">
        <v>107</v>
      </c>
      <c r="C14" s="35" t="s">
        <v>475</v>
      </c>
      <c r="D14" s="35" t="s">
        <v>156</v>
      </c>
      <c r="E14" s="35" t="s">
        <v>476</v>
      </c>
      <c r="F14" s="35" t="s">
        <v>477</v>
      </c>
      <c r="G14" s="35" t="s">
        <v>439</v>
      </c>
      <c r="H14" s="32" t="s">
        <v>113</v>
      </c>
      <c r="I14" s="36">
        <f>IF(OR(H14="Completed",H14="PASS"),1,IF(H14="In Progress",0.5,0))</f>
        <v>1</v>
      </c>
      <c r="J14" s="35" t="s">
        <v>478</v>
      </c>
      <c r="K14" s="34" t="s">
        <v>115</v>
      </c>
      <c r="L14" s="34" t="s">
        <v>116</v>
      </c>
    </row>
    <row r="15" ht="32" customHeight="1" spans="1:12" x14ac:dyDescent="0.25">
      <c r="A15" s="30" t="s">
        <v>479</v>
      </c>
      <c r="B15" s="30" t="s">
        <v>107</v>
      </c>
      <c r="C15" s="31" t="s">
        <v>424</v>
      </c>
      <c r="D15" s="31" t="s">
        <v>480</v>
      </c>
      <c r="E15" s="31" t="s">
        <v>481</v>
      </c>
      <c r="F15" s="31" t="s">
        <v>482</v>
      </c>
      <c r="G15" s="31" t="s">
        <v>326</v>
      </c>
      <c r="H15" s="32" t="s">
        <v>113</v>
      </c>
      <c r="I15" s="33">
        <f>IF(OR(H15="Completed",H15="PASS"),1,IF(H15="In Progress",0.5,0))</f>
        <v>1</v>
      </c>
      <c r="J15" s="31" t="s">
        <v>483</v>
      </c>
      <c r="K15" s="30" t="s">
        <v>115</v>
      </c>
      <c r="L15" s="30" t="s">
        <v>116</v>
      </c>
    </row>
    <row r="16" ht="32" customHeight="1" spans="1:12" x14ac:dyDescent="0.25">
      <c r="A16" s="34" t="s">
        <v>484</v>
      </c>
      <c r="B16" s="34" t="s">
        <v>329</v>
      </c>
      <c r="C16" s="35" t="s">
        <v>442</v>
      </c>
      <c r="D16" s="35" t="s">
        <v>156</v>
      </c>
      <c r="E16" s="35" t="s">
        <v>485</v>
      </c>
      <c r="F16" s="35" t="s">
        <v>486</v>
      </c>
      <c r="G16" s="35" t="s">
        <v>487</v>
      </c>
      <c r="H16" s="32" t="s">
        <v>113</v>
      </c>
      <c r="I16" s="36">
        <f>IF(OR(H16="Completed",H16="PASS"),1,IF(H16="In Progress",0.5,0))</f>
        <v>1</v>
      </c>
      <c r="J16" s="35" t="s">
        <v>488</v>
      </c>
      <c r="K16" s="34" t="s">
        <v>115</v>
      </c>
      <c r="L16" s="34" t="s">
        <v>116</v>
      </c>
    </row>
  </sheetData>
  <mergeCells count="2">
    <mergeCell ref="A1:L1"/>
    <mergeCell ref="A2:L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workbookViewId="0"/>
  </sheetViews>
  <sheetFormatPr defaultRowHeight="15" outlineLevelRow="0" outlineLevelCol="0" x14ac:dyDescent="55"/>
  <cols>
    <col min="1" max="1" width="14" customWidth="1"/>
    <col min="2" max="2" width="12" customWidth="1"/>
    <col min="3" max="3" width="34" customWidth="1"/>
    <col min="4" max="4" width="36" customWidth="1"/>
    <col min="5" max="6" width="38" customWidth="1"/>
    <col min="7" max="7" width="28" customWidth="1"/>
    <col min="8" max="8" width="16" customWidth="1"/>
    <col min="9" max="9" width="12" customWidth="1"/>
    <col min="10" max="10" width="40" customWidth="1"/>
    <col min="11" max="11" width="16" customWidth="1"/>
    <col min="12" max="12" width="14" customWidth="1"/>
  </cols>
  <sheetData>
    <row r="1" ht="36" customHeight="1" spans="1:12" x14ac:dyDescent="0.25">
      <c r="A1" s="1" t="s">
        <v>489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 x14ac:dyDescent="0.25">
      <c r="A2" s="2" t="s">
        <v>490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10" customHeight="1" x14ac:dyDescent="0.25"/>
    <row r="4" ht="28" customHeight="1" spans="1:12" x14ac:dyDescent="0.25">
      <c r="A4" s="28" t="s">
        <v>96</v>
      </c>
      <c r="B4" s="28" t="s">
        <v>97</v>
      </c>
      <c r="C4" s="29" t="s">
        <v>98</v>
      </c>
      <c r="D4" s="29" t="s">
        <v>99</v>
      </c>
      <c r="E4" s="29" t="s">
        <v>100</v>
      </c>
      <c r="F4" s="29" t="s">
        <v>101</v>
      </c>
      <c r="G4" s="29" t="s">
        <v>102</v>
      </c>
      <c r="H4" s="28" t="s">
        <v>10</v>
      </c>
      <c r="I4" s="28" t="s">
        <v>17</v>
      </c>
      <c r="J4" s="29" t="s">
        <v>103</v>
      </c>
      <c r="K4" s="29" t="s">
        <v>104</v>
      </c>
      <c r="L4" s="29" t="s">
        <v>105</v>
      </c>
    </row>
    <row r="5" ht="32" customHeight="1" spans="1:12" x14ac:dyDescent="0.25">
      <c r="A5" s="30" t="s">
        <v>491</v>
      </c>
      <c r="B5" s="30" t="s">
        <v>107</v>
      </c>
      <c r="C5" s="31" t="s">
        <v>492</v>
      </c>
      <c r="D5" s="31" t="s">
        <v>493</v>
      </c>
      <c r="E5" s="31" t="s">
        <v>494</v>
      </c>
      <c r="F5" s="31" t="s">
        <v>495</v>
      </c>
      <c r="G5" s="31" t="s">
        <v>496</v>
      </c>
      <c r="H5" s="32" t="s">
        <v>113</v>
      </c>
      <c r="I5" s="33">
        <f>IF(OR(H5="Completed",H5="PASS"),1,IF(H5="In Progress",0.5,0))</f>
        <v>1</v>
      </c>
      <c r="J5" s="31" t="s">
        <v>497</v>
      </c>
      <c r="K5" s="30" t="s">
        <v>115</v>
      </c>
      <c r="L5" s="30" t="s">
        <v>116</v>
      </c>
    </row>
    <row r="6" ht="32" customHeight="1" spans="1:12" x14ac:dyDescent="0.25">
      <c r="A6" s="34" t="s">
        <v>498</v>
      </c>
      <c r="B6" s="34" t="s">
        <v>154</v>
      </c>
      <c r="C6" s="35" t="s">
        <v>394</v>
      </c>
      <c r="D6" s="35" t="s">
        <v>156</v>
      </c>
      <c r="E6" s="35" t="s">
        <v>499</v>
      </c>
      <c r="F6" s="35" t="s">
        <v>500</v>
      </c>
      <c r="G6" s="35" t="s">
        <v>397</v>
      </c>
      <c r="H6" s="32" t="s">
        <v>113</v>
      </c>
      <c r="I6" s="36">
        <f>IF(OR(H6="Completed",H6="PASS"),1,IF(H6="In Progress",0.5,0))</f>
        <v>1</v>
      </c>
      <c r="J6" s="35" t="s">
        <v>501</v>
      </c>
      <c r="K6" s="34" t="s">
        <v>115</v>
      </c>
      <c r="L6" s="34" t="s">
        <v>116</v>
      </c>
    </row>
    <row r="7" ht="32" customHeight="1" spans="1:12" x14ac:dyDescent="0.25">
      <c r="A7" s="30" t="s">
        <v>502</v>
      </c>
      <c r="B7" s="30" t="s">
        <v>154</v>
      </c>
      <c r="C7" s="31" t="s">
        <v>405</v>
      </c>
      <c r="D7" s="31" t="s">
        <v>156</v>
      </c>
      <c r="E7" s="31" t="s">
        <v>503</v>
      </c>
      <c r="F7" s="31" t="s">
        <v>504</v>
      </c>
      <c r="G7" s="31" t="s">
        <v>408</v>
      </c>
      <c r="H7" s="32" t="s">
        <v>113</v>
      </c>
      <c r="I7" s="33">
        <f>IF(OR(H7="Completed",H7="PASS"),1,IF(H7="In Progress",0.5,0))</f>
        <v>1</v>
      </c>
      <c r="J7" s="31" t="s">
        <v>505</v>
      </c>
      <c r="K7" s="30" t="s">
        <v>115</v>
      </c>
      <c r="L7" s="30" t="s">
        <v>116</v>
      </c>
    </row>
    <row r="8" ht="32" customHeight="1" spans="1:12" x14ac:dyDescent="0.25">
      <c r="A8" s="34" t="s">
        <v>506</v>
      </c>
      <c r="B8" s="34" t="s">
        <v>154</v>
      </c>
      <c r="C8" s="35" t="s">
        <v>507</v>
      </c>
      <c r="D8" s="35" t="s">
        <v>156</v>
      </c>
      <c r="E8" s="35" t="s">
        <v>508</v>
      </c>
      <c r="F8" s="35" t="s">
        <v>509</v>
      </c>
      <c r="G8" s="35" t="s">
        <v>510</v>
      </c>
      <c r="H8" s="32" t="s">
        <v>113</v>
      </c>
      <c r="I8" s="36">
        <f>IF(OR(H8="Completed",H8="PASS"),1,IF(H8="In Progress",0.5,0))</f>
        <v>1</v>
      </c>
      <c r="J8" s="35" t="s">
        <v>511</v>
      </c>
      <c r="K8" s="34" t="s">
        <v>115</v>
      </c>
      <c r="L8" s="34" t="s">
        <v>116</v>
      </c>
    </row>
    <row r="9" ht="32" customHeight="1" spans="1:12" x14ac:dyDescent="0.25">
      <c r="A9" s="30" t="s">
        <v>512</v>
      </c>
      <c r="B9" s="30" t="s">
        <v>154</v>
      </c>
      <c r="C9" s="31" t="s">
        <v>513</v>
      </c>
      <c r="D9" s="31" t="s">
        <v>156</v>
      </c>
      <c r="E9" s="31" t="s">
        <v>514</v>
      </c>
      <c r="F9" s="31" t="s">
        <v>515</v>
      </c>
      <c r="G9" s="31" t="s">
        <v>510</v>
      </c>
      <c r="H9" s="32" t="s">
        <v>113</v>
      </c>
      <c r="I9" s="33">
        <f>IF(OR(H9="Completed",H9="PASS"),1,IF(H9="In Progress",0.5,0))</f>
        <v>1</v>
      </c>
      <c r="J9" s="31" t="s">
        <v>516</v>
      </c>
      <c r="K9" s="30" t="s">
        <v>115</v>
      </c>
      <c r="L9" s="30" t="s">
        <v>116</v>
      </c>
    </row>
    <row r="10" ht="32" customHeight="1" spans="1:12" x14ac:dyDescent="0.25">
      <c r="A10" s="34" t="s">
        <v>517</v>
      </c>
      <c r="B10" s="34" t="s">
        <v>107</v>
      </c>
      <c r="C10" s="35" t="s">
        <v>518</v>
      </c>
      <c r="D10" s="35" t="s">
        <v>156</v>
      </c>
      <c r="E10" s="35" t="s">
        <v>519</v>
      </c>
      <c r="F10" s="35" t="s">
        <v>520</v>
      </c>
      <c r="G10" s="35" t="s">
        <v>521</v>
      </c>
      <c r="H10" s="32" t="s">
        <v>113</v>
      </c>
      <c r="I10" s="36">
        <f>IF(OR(H10="Completed",H10="PASS"),1,IF(H10="In Progress",0.5,0))</f>
        <v>1</v>
      </c>
      <c r="J10" s="35" t="s">
        <v>522</v>
      </c>
      <c r="K10" s="34" t="s">
        <v>115</v>
      </c>
      <c r="L10" s="34" t="s">
        <v>116</v>
      </c>
    </row>
    <row r="11" ht="32" customHeight="1" spans="1:12" x14ac:dyDescent="0.25">
      <c r="A11" s="30" t="s">
        <v>523</v>
      </c>
      <c r="B11" s="30" t="s">
        <v>107</v>
      </c>
      <c r="C11" s="31" t="s">
        <v>524</v>
      </c>
      <c r="D11" s="31" t="s">
        <v>156</v>
      </c>
      <c r="E11" s="31" t="s">
        <v>525</v>
      </c>
      <c r="F11" s="31" t="s">
        <v>526</v>
      </c>
      <c r="G11" s="31" t="s">
        <v>527</v>
      </c>
      <c r="H11" s="32" t="s">
        <v>113</v>
      </c>
      <c r="I11" s="33">
        <f>IF(OR(H11="Completed",H11="PASS"),1,IF(H11="In Progress",0.5,0))</f>
        <v>1</v>
      </c>
      <c r="J11" s="31" t="s">
        <v>528</v>
      </c>
      <c r="K11" s="30" t="s">
        <v>115</v>
      </c>
      <c r="L11" s="30" t="s">
        <v>116</v>
      </c>
    </row>
    <row r="12" ht="32" customHeight="1" spans="1:12" x14ac:dyDescent="0.25">
      <c r="A12" s="34" t="s">
        <v>529</v>
      </c>
      <c r="B12" s="34" t="s">
        <v>107</v>
      </c>
      <c r="C12" s="35" t="s">
        <v>492</v>
      </c>
      <c r="D12" s="35" t="s">
        <v>530</v>
      </c>
      <c r="E12" s="35" t="s">
        <v>531</v>
      </c>
      <c r="F12" s="35" t="s">
        <v>532</v>
      </c>
      <c r="G12" s="35" t="s">
        <v>326</v>
      </c>
      <c r="H12" s="32" t="s">
        <v>113</v>
      </c>
      <c r="I12" s="36">
        <f>IF(OR(H12="Completed",H12="PASS"),1,IF(H12="In Progress",0.5,0))</f>
        <v>1</v>
      </c>
      <c r="J12" s="35" t="s">
        <v>483</v>
      </c>
      <c r="K12" s="34" t="s">
        <v>115</v>
      </c>
      <c r="L12" s="34" t="s">
        <v>116</v>
      </c>
    </row>
    <row r="13" ht="32" customHeight="1" spans="1:12" x14ac:dyDescent="0.25">
      <c r="A13" s="30" t="s">
        <v>533</v>
      </c>
      <c r="B13" s="30" t="s">
        <v>107</v>
      </c>
      <c r="C13" s="31" t="s">
        <v>492</v>
      </c>
      <c r="D13" s="31" t="s">
        <v>534</v>
      </c>
      <c r="E13" s="31" t="s">
        <v>535</v>
      </c>
      <c r="F13" s="31" t="s">
        <v>536</v>
      </c>
      <c r="G13" s="31" t="s">
        <v>537</v>
      </c>
      <c r="H13" s="32" t="s">
        <v>113</v>
      </c>
      <c r="I13" s="33">
        <f>IF(OR(H13="Completed",H13="PASS"),1,IF(H13="In Progress",0.5,0))</f>
        <v>1</v>
      </c>
      <c r="J13" s="31" t="s">
        <v>538</v>
      </c>
      <c r="K13" s="30" t="s">
        <v>115</v>
      </c>
      <c r="L13" s="30" t="s">
        <v>116</v>
      </c>
    </row>
    <row r="14" ht="32" customHeight="1" spans="1:12" x14ac:dyDescent="0.25">
      <c r="A14" s="34" t="s">
        <v>539</v>
      </c>
      <c r="B14" s="34" t="s">
        <v>329</v>
      </c>
      <c r="C14" s="35" t="s">
        <v>513</v>
      </c>
      <c r="D14" s="35" t="s">
        <v>156</v>
      </c>
      <c r="E14" s="35" t="s">
        <v>540</v>
      </c>
      <c r="F14" s="35" t="s">
        <v>541</v>
      </c>
      <c r="G14" s="35" t="s">
        <v>542</v>
      </c>
      <c r="H14" s="32" t="s">
        <v>113</v>
      </c>
      <c r="I14" s="36">
        <f>IF(OR(H14="Completed",H14="PASS"),1,IF(H14="In Progress",0.5,0))</f>
        <v>1</v>
      </c>
      <c r="J14" s="35" t="s">
        <v>543</v>
      </c>
      <c r="K14" s="34" t="s">
        <v>115</v>
      </c>
      <c r="L14" s="34" t="s">
        <v>116</v>
      </c>
    </row>
  </sheetData>
  <mergeCells count="2">
    <mergeCell ref="A1:L1"/>
    <mergeCell ref="A2:L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"/>
  <sheetViews>
    <sheetView workbookViewId="0"/>
  </sheetViews>
  <sheetFormatPr defaultRowHeight="15" outlineLevelRow="0" outlineLevelCol="0" x14ac:dyDescent="55"/>
  <cols>
    <col min="1" max="1" width="14" customWidth="1"/>
    <col min="2" max="2" width="12" customWidth="1"/>
    <col min="3" max="3" width="34" customWidth="1"/>
    <col min="4" max="4" width="36" customWidth="1"/>
    <col min="5" max="6" width="38" customWidth="1"/>
    <col min="7" max="7" width="28" customWidth="1"/>
    <col min="8" max="8" width="16" customWidth="1"/>
    <col min="9" max="9" width="12" customWidth="1"/>
    <col min="10" max="10" width="40" customWidth="1"/>
    <col min="11" max="11" width="16" customWidth="1"/>
    <col min="12" max="12" width="14" customWidth="1"/>
  </cols>
  <sheetData>
    <row r="1" ht="36" customHeight="1" spans="1:12" x14ac:dyDescent="0.25">
      <c r="A1" s="1" t="s">
        <v>544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 x14ac:dyDescent="0.25">
      <c r="A2" s="2" t="s">
        <v>545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10" customHeight="1" x14ac:dyDescent="0.25"/>
    <row r="4" ht="28" customHeight="1" spans="1:12" x14ac:dyDescent="0.25">
      <c r="A4" s="28" t="s">
        <v>96</v>
      </c>
      <c r="B4" s="28" t="s">
        <v>97</v>
      </c>
      <c r="C4" s="29" t="s">
        <v>98</v>
      </c>
      <c r="D4" s="29" t="s">
        <v>99</v>
      </c>
      <c r="E4" s="29" t="s">
        <v>100</v>
      </c>
      <c r="F4" s="29" t="s">
        <v>101</v>
      </c>
      <c r="G4" s="29" t="s">
        <v>102</v>
      </c>
      <c r="H4" s="28" t="s">
        <v>10</v>
      </c>
      <c r="I4" s="28" t="s">
        <v>17</v>
      </c>
      <c r="J4" s="29" t="s">
        <v>103</v>
      </c>
      <c r="K4" s="29" t="s">
        <v>104</v>
      </c>
      <c r="L4" s="29" t="s">
        <v>105</v>
      </c>
    </row>
    <row r="5" ht="32" customHeight="1" spans="1:12" x14ac:dyDescent="0.25">
      <c r="A5" s="30" t="s">
        <v>546</v>
      </c>
      <c r="B5" s="30" t="s">
        <v>154</v>
      </c>
      <c r="C5" s="31" t="s">
        <v>547</v>
      </c>
      <c r="D5" s="31" t="s">
        <v>156</v>
      </c>
      <c r="E5" s="31" t="s">
        <v>548</v>
      </c>
      <c r="F5" s="31" t="s">
        <v>549</v>
      </c>
      <c r="G5" s="31" t="s">
        <v>550</v>
      </c>
      <c r="H5" s="32" t="s">
        <v>113</v>
      </c>
      <c r="I5" s="33">
        <f>IF(OR(H5="Completed",H5="PASS"),1,IF(H5="In Progress",0.5,0))</f>
        <v>1</v>
      </c>
      <c r="J5" s="31" t="s">
        <v>551</v>
      </c>
      <c r="K5" s="30" t="s">
        <v>115</v>
      </c>
      <c r="L5" s="30" t="s">
        <v>116</v>
      </c>
    </row>
    <row r="6" ht="32" customHeight="1" spans="1:12" x14ac:dyDescent="0.25">
      <c r="A6" s="34" t="s">
        <v>552</v>
      </c>
      <c r="B6" s="34" t="s">
        <v>154</v>
      </c>
      <c r="C6" s="35" t="s">
        <v>553</v>
      </c>
      <c r="D6" s="35" t="s">
        <v>156</v>
      </c>
      <c r="E6" s="35" t="s">
        <v>554</v>
      </c>
      <c r="F6" s="35" t="s">
        <v>555</v>
      </c>
      <c r="G6" s="35" t="s">
        <v>550</v>
      </c>
      <c r="H6" s="32" t="s">
        <v>113</v>
      </c>
      <c r="I6" s="36">
        <f>IF(OR(H6="Completed",H6="PASS"),1,IF(H6="In Progress",0.5,0))</f>
        <v>1</v>
      </c>
      <c r="J6" s="35" t="s">
        <v>556</v>
      </c>
      <c r="K6" s="34" t="s">
        <v>115</v>
      </c>
      <c r="L6" s="34" t="s">
        <v>116</v>
      </c>
    </row>
    <row r="7" ht="32" customHeight="1" spans="1:12" x14ac:dyDescent="0.25">
      <c r="A7" s="30" t="s">
        <v>557</v>
      </c>
      <c r="B7" s="30" t="s">
        <v>107</v>
      </c>
      <c r="C7" s="31" t="s">
        <v>558</v>
      </c>
      <c r="D7" s="31" t="s">
        <v>559</v>
      </c>
      <c r="E7" s="31" t="s">
        <v>560</v>
      </c>
      <c r="F7" s="31" t="s">
        <v>561</v>
      </c>
      <c r="G7" s="31" t="s">
        <v>562</v>
      </c>
      <c r="H7" s="32" t="s">
        <v>113</v>
      </c>
      <c r="I7" s="33">
        <f>IF(OR(H7="Completed",H7="PASS"),1,IF(H7="In Progress",0.5,0))</f>
        <v>1</v>
      </c>
      <c r="J7" s="31" t="s">
        <v>563</v>
      </c>
      <c r="K7" s="30" t="s">
        <v>115</v>
      </c>
      <c r="L7" s="30" t="s">
        <v>116</v>
      </c>
    </row>
    <row r="8" ht="32" customHeight="1" spans="1:12" x14ac:dyDescent="0.25">
      <c r="A8" s="34" t="s">
        <v>564</v>
      </c>
      <c r="B8" s="34" t="s">
        <v>107</v>
      </c>
      <c r="C8" s="35" t="s">
        <v>558</v>
      </c>
      <c r="D8" s="35" t="s">
        <v>565</v>
      </c>
      <c r="E8" s="35" t="s">
        <v>566</v>
      </c>
      <c r="F8" s="35" t="s">
        <v>567</v>
      </c>
      <c r="G8" s="35" t="s">
        <v>562</v>
      </c>
      <c r="H8" s="32" t="s">
        <v>113</v>
      </c>
      <c r="I8" s="36">
        <f>IF(OR(H8="Completed",H8="PASS"),1,IF(H8="In Progress",0.5,0))</f>
        <v>1</v>
      </c>
      <c r="J8" s="35" t="s">
        <v>568</v>
      </c>
      <c r="K8" s="34" t="s">
        <v>115</v>
      </c>
      <c r="L8" s="34" t="s">
        <v>116</v>
      </c>
    </row>
    <row r="9" ht="32" customHeight="1" spans="1:12" x14ac:dyDescent="0.25">
      <c r="A9" s="30" t="s">
        <v>569</v>
      </c>
      <c r="B9" s="30" t="s">
        <v>107</v>
      </c>
      <c r="C9" s="31" t="s">
        <v>558</v>
      </c>
      <c r="D9" s="31" t="s">
        <v>570</v>
      </c>
      <c r="E9" s="31" t="s">
        <v>571</v>
      </c>
      <c r="F9" s="31" t="s">
        <v>572</v>
      </c>
      <c r="G9" s="31" t="s">
        <v>562</v>
      </c>
      <c r="H9" s="32" t="s">
        <v>113</v>
      </c>
      <c r="I9" s="33">
        <f>IF(OR(H9="Completed",H9="PASS"),1,IF(H9="In Progress",0.5,0))</f>
        <v>1</v>
      </c>
      <c r="J9" s="31" t="s">
        <v>573</v>
      </c>
      <c r="K9" s="30" t="s">
        <v>115</v>
      </c>
      <c r="L9" s="30" t="s">
        <v>116</v>
      </c>
    </row>
    <row r="10" ht="32" customHeight="1" spans="1:12" x14ac:dyDescent="0.25">
      <c r="A10" s="34" t="s">
        <v>574</v>
      </c>
      <c r="B10" s="34" t="s">
        <v>281</v>
      </c>
      <c r="C10" s="35" t="s">
        <v>553</v>
      </c>
      <c r="D10" s="35" t="s">
        <v>575</v>
      </c>
      <c r="E10" s="35" t="s">
        <v>576</v>
      </c>
      <c r="F10" s="35" t="s">
        <v>577</v>
      </c>
      <c r="G10" s="35" t="s">
        <v>562</v>
      </c>
      <c r="H10" s="32" t="s">
        <v>113</v>
      </c>
      <c r="I10" s="36">
        <f>IF(OR(H10="Completed",H10="PASS"),1,IF(H10="In Progress",0.5,0))</f>
        <v>1</v>
      </c>
      <c r="J10" s="35" t="s">
        <v>578</v>
      </c>
      <c r="K10" s="34" t="s">
        <v>115</v>
      </c>
      <c r="L10" s="34" t="s">
        <v>116</v>
      </c>
    </row>
    <row r="11" ht="32" customHeight="1" spans="1:12" x14ac:dyDescent="0.25">
      <c r="A11" s="30" t="s">
        <v>579</v>
      </c>
      <c r="B11" s="30" t="s">
        <v>281</v>
      </c>
      <c r="C11" s="31" t="s">
        <v>553</v>
      </c>
      <c r="D11" s="31" t="s">
        <v>580</v>
      </c>
      <c r="E11" s="31" t="s">
        <v>581</v>
      </c>
      <c r="F11" s="31" t="s">
        <v>582</v>
      </c>
      <c r="G11" s="31" t="s">
        <v>562</v>
      </c>
      <c r="H11" s="32" t="s">
        <v>113</v>
      </c>
      <c r="I11" s="33">
        <f>IF(OR(H11="Completed",H11="PASS"),1,IF(H11="In Progress",0.5,0))</f>
        <v>1</v>
      </c>
      <c r="J11" s="31" t="s">
        <v>583</v>
      </c>
      <c r="K11" s="30" t="s">
        <v>115</v>
      </c>
      <c r="L11" s="30" t="s">
        <v>116</v>
      </c>
    </row>
    <row r="12" ht="32" customHeight="1" spans="1:12" x14ac:dyDescent="0.25">
      <c r="A12" s="34" t="s">
        <v>584</v>
      </c>
      <c r="B12" s="34" t="s">
        <v>329</v>
      </c>
      <c r="C12" s="35" t="s">
        <v>553</v>
      </c>
      <c r="D12" s="35" t="s">
        <v>156</v>
      </c>
      <c r="E12" s="35" t="s">
        <v>585</v>
      </c>
      <c r="F12" s="35" t="s">
        <v>586</v>
      </c>
      <c r="G12" s="35" t="s">
        <v>562</v>
      </c>
      <c r="H12" s="32" t="s">
        <v>113</v>
      </c>
      <c r="I12" s="36">
        <f>IF(OR(H12="Completed",H12="PASS"),1,IF(H12="In Progress",0.5,0))</f>
        <v>1</v>
      </c>
      <c r="J12" s="35" t="s">
        <v>543</v>
      </c>
      <c r="K12" s="34" t="s">
        <v>115</v>
      </c>
      <c r="L12" s="34" t="s">
        <v>116</v>
      </c>
    </row>
  </sheetData>
  <mergeCells count="2">
    <mergeCell ref="A1:L1"/>
    <mergeCell ref="A2:L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"/>
  <sheetViews>
    <sheetView workbookViewId="0"/>
  </sheetViews>
  <sheetFormatPr defaultRowHeight="15" outlineLevelRow="0" outlineLevelCol="0" x14ac:dyDescent="55"/>
  <cols>
    <col min="1" max="1" width="14" customWidth="1"/>
    <col min="2" max="2" width="12" customWidth="1"/>
    <col min="3" max="3" width="34" customWidth="1"/>
    <col min="4" max="4" width="36" customWidth="1"/>
    <col min="5" max="6" width="38" customWidth="1"/>
    <col min="7" max="7" width="28" customWidth="1"/>
    <col min="8" max="8" width="16" customWidth="1"/>
    <col min="9" max="9" width="12" customWidth="1"/>
    <col min="10" max="10" width="40" customWidth="1"/>
    <col min="11" max="11" width="16" customWidth="1"/>
    <col min="12" max="12" width="14" customWidth="1"/>
  </cols>
  <sheetData>
    <row r="1" ht="36" customHeight="1" spans="1:12" x14ac:dyDescent="0.25">
      <c r="A1" s="1" t="s">
        <v>587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 x14ac:dyDescent="0.25">
      <c r="A2" s="2" t="s">
        <v>588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10" customHeight="1" x14ac:dyDescent="0.25"/>
    <row r="4" ht="28" customHeight="1" spans="1:12" x14ac:dyDescent="0.25">
      <c r="A4" s="28" t="s">
        <v>96</v>
      </c>
      <c r="B4" s="28" t="s">
        <v>97</v>
      </c>
      <c r="C4" s="29" t="s">
        <v>98</v>
      </c>
      <c r="D4" s="29" t="s">
        <v>99</v>
      </c>
      <c r="E4" s="29" t="s">
        <v>100</v>
      </c>
      <c r="F4" s="29" t="s">
        <v>101</v>
      </c>
      <c r="G4" s="29" t="s">
        <v>102</v>
      </c>
      <c r="H4" s="28" t="s">
        <v>10</v>
      </c>
      <c r="I4" s="28" t="s">
        <v>17</v>
      </c>
      <c r="J4" s="29" t="s">
        <v>103</v>
      </c>
      <c r="K4" s="29" t="s">
        <v>104</v>
      </c>
      <c r="L4" s="29" t="s">
        <v>105</v>
      </c>
    </row>
    <row r="5" ht="32" customHeight="1" spans="1:12" x14ac:dyDescent="0.25">
      <c r="A5" s="30" t="s">
        <v>589</v>
      </c>
      <c r="B5" s="30" t="s">
        <v>154</v>
      </c>
      <c r="C5" s="31" t="s">
        <v>590</v>
      </c>
      <c r="D5" s="31" t="s">
        <v>156</v>
      </c>
      <c r="E5" s="31" t="s">
        <v>591</v>
      </c>
      <c r="F5" s="31" t="s">
        <v>592</v>
      </c>
      <c r="G5" s="31" t="s">
        <v>550</v>
      </c>
      <c r="H5" s="32" t="s">
        <v>113</v>
      </c>
      <c r="I5" s="33">
        <f>IF(OR(H5="Completed",H5="PASS"),1,IF(H5="In Progress",0.5,0))</f>
        <v>1</v>
      </c>
      <c r="J5" s="31" t="s">
        <v>593</v>
      </c>
      <c r="K5" s="30" t="s">
        <v>115</v>
      </c>
      <c r="L5" s="30" t="s">
        <v>116</v>
      </c>
    </row>
    <row r="6" ht="32" customHeight="1" spans="1:12" x14ac:dyDescent="0.25">
      <c r="A6" s="34" t="s">
        <v>594</v>
      </c>
      <c r="B6" s="34" t="s">
        <v>154</v>
      </c>
      <c r="C6" s="35" t="s">
        <v>595</v>
      </c>
      <c r="D6" s="35" t="s">
        <v>156</v>
      </c>
      <c r="E6" s="35" t="s">
        <v>596</v>
      </c>
      <c r="F6" s="35" t="s">
        <v>597</v>
      </c>
      <c r="G6" s="35" t="s">
        <v>550</v>
      </c>
      <c r="H6" s="32" t="s">
        <v>113</v>
      </c>
      <c r="I6" s="36">
        <f>IF(OR(H6="Completed",H6="PASS"),1,IF(H6="In Progress",0.5,0))</f>
        <v>1</v>
      </c>
      <c r="J6" s="35" t="s">
        <v>598</v>
      </c>
      <c r="K6" s="34" t="s">
        <v>115</v>
      </c>
      <c r="L6" s="34" t="s">
        <v>116</v>
      </c>
    </row>
    <row r="7" ht="32" customHeight="1" spans="1:12" x14ac:dyDescent="0.25">
      <c r="A7" s="30" t="s">
        <v>599</v>
      </c>
      <c r="B7" s="30" t="s">
        <v>107</v>
      </c>
      <c r="C7" s="31" t="s">
        <v>600</v>
      </c>
      <c r="D7" s="31" t="s">
        <v>601</v>
      </c>
      <c r="E7" s="31" t="s">
        <v>602</v>
      </c>
      <c r="F7" s="31" t="s">
        <v>603</v>
      </c>
      <c r="G7" s="31" t="s">
        <v>604</v>
      </c>
      <c r="H7" s="32" t="s">
        <v>113</v>
      </c>
      <c r="I7" s="33">
        <f>IF(OR(H7="Completed",H7="PASS"),1,IF(H7="In Progress",0.5,0))</f>
        <v>1</v>
      </c>
      <c r="J7" s="31" t="s">
        <v>605</v>
      </c>
      <c r="K7" s="30" t="s">
        <v>115</v>
      </c>
      <c r="L7" s="30" t="s">
        <v>116</v>
      </c>
    </row>
    <row r="8" ht="32" customHeight="1" spans="1:12" x14ac:dyDescent="0.25">
      <c r="A8" s="34" t="s">
        <v>606</v>
      </c>
      <c r="B8" s="34" t="s">
        <v>107</v>
      </c>
      <c r="C8" s="35" t="s">
        <v>600</v>
      </c>
      <c r="D8" s="35" t="s">
        <v>607</v>
      </c>
      <c r="E8" s="35" t="s">
        <v>608</v>
      </c>
      <c r="F8" s="35" t="s">
        <v>609</v>
      </c>
      <c r="G8" s="35" t="s">
        <v>562</v>
      </c>
      <c r="H8" s="32" t="s">
        <v>113</v>
      </c>
      <c r="I8" s="36">
        <f>IF(OR(H8="Completed",H8="PASS"),1,IF(H8="In Progress",0.5,0))</f>
        <v>1</v>
      </c>
      <c r="J8" s="35" t="s">
        <v>610</v>
      </c>
      <c r="K8" s="34" t="s">
        <v>115</v>
      </c>
      <c r="L8" s="34" t="s">
        <v>116</v>
      </c>
    </row>
    <row r="9" ht="32" customHeight="1" spans="1:12" x14ac:dyDescent="0.25">
      <c r="A9" s="30" t="s">
        <v>611</v>
      </c>
      <c r="B9" s="30" t="s">
        <v>107</v>
      </c>
      <c r="C9" s="31" t="s">
        <v>612</v>
      </c>
      <c r="D9" s="31" t="s">
        <v>613</v>
      </c>
      <c r="E9" s="31" t="s">
        <v>614</v>
      </c>
      <c r="F9" s="31" t="s">
        <v>615</v>
      </c>
      <c r="G9" s="31" t="s">
        <v>616</v>
      </c>
      <c r="H9" s="32" t="s">
        <v>113</v>
      </c>
      <c r="I9" s="33">
        <f>IF(OR(H9="Completed",H9="PASS"),1,IF(H9="In Progress",0.5,0))</f>
        <v>1</v>
      </c>
      <c r="J9" s="31" t="s">
        <v>617</v>
      </c>
      <c r="K9" s="30" t="s">
        <v>115</v>
      </c>
      <c r="L9" s="30" t="s">
        <v>116</v>
      </c>
    </row>
    <row r="10" ht="32" customHeight="1" spans="1:12" x14ac:dyDescent="0.25">
      <c r="A10" s="34" t="s">
        <v>618</v>
      </c>
      <c r="B10" s="34" t="s">
        <v>107</v>
      </c>
      <c r="C10" s="35" t="s">
        <v>612</v>
      </c>
      <c r="D10" s="35" t="s">
        <v>613</v>
      </c>
      <c r="E10" s="35" t="s">
        <v>619</v>
      </c>
      <c r="F10" s="35" t="s">
        <v>620</v>
      </c>
      <c r="G10" s="35" t="s">
        <v>621</v>
      </c>
      <c r="H10" s="32" t="s">
        <v>113</v>
      </c>
      <c r="I10" s="36">
        <f>IF(OR(H10="Completed",H10="PASS"),1,IF(H10="In Progress",0.5,0))</f>
        <v>1</v>
      </c>
      <c r="J10" s="35" t="s">
        <v>622</v>
      </c>
      <c r="K10" s="34" t="s">
        <v>623</v>
      </c>
      <c r="L10" s="34" t="s">
        <v>116</v>
      </c>
    </row>
    <row r="11" ht="32" customHeight="1" spans="1:12" x14ac:dyDescent="0.25">
      <c r="A11" s="30" t="s">
        <v>624</v>
      </c>
      <c r="B11" s="30" t="s">
        <v>107</v>
      </c>
      <c r="C11" s="31" t="s">
        <v>625</v>
      </c>
      <c r="D11" s="31" t="s">
        <v>156</v>
      </c>
      <c r="E11" s="31" t="s">
        <v>626</v>
      </c>
      <c r="F11" s="31" t="s">
        <v>627</v>
      </c>
      <c r="G11" s="31" t="s">
        <v>628</v>
      </c>
      <c r="H11" s="32" t="s">
        <v>113</v>
      </c>
      <c r="I11" s="33">
        <f>IF(OR(H11="Completed",H11="PASS"),1,IF(H11="In Progress",0.5,0))</f>
        <v>1</v>
      </c>
      <c r="J11" s="31" t="s">
        <v>629</v>
      </c>
      <c r="K11" s="30" t="s">
        <v>115</v>
      </c>
      <c r="L11" s="30" t="s">
        <v>116</v>
      </c>
    </row>
    <row r="12" ht="32" customHeight="1" spans="1:12" x14ac:dyDescent="0.25">
      <c r="A12" s="34" t="s">
        <v>630</v>
      </c>
      <c r="B12" s="34" t="s">
        <v>107</v>
      </c>
      <c r="C12" s="35" t="s">
        <v>600</v>
      </c>
      <c r="D12" s="35" t="s">
        <v>631</v>
      </c>
      <c r="E12" s="35" t="s">
        <v>632</v>
      </c>
      <c r="F12" s="35" t="s">
        <v>633</v>
      </c>
      <c r="G12" s="35" t="s">
        <v>537</v>
      </c>
      <c r="H12" s="32" t="s">
        <v>113</v>
      </c>
      <c r="I12" s="36">
        <f>IF(OR(H12="Completed",H12="PASS"),1,IF(H12="In Progress",0.5,0))</f>
        <v>1</v>
      </c>
      <c r="J12" s="35" t="s">
        <v>634</v>
      </c>
      <c r="K12" s="34" t="s">
        <v>115</v>
      </c>
      <c r="L12" s="34" t="s">
        <v>116</v>
      </c>
    </row>
  </sheetData>
  <mergeCells count="2">
    <mergeCell ref="A1:L1"/>
    <mergeCell ref="A2:L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workbookViewId="0"/>
  </sheetViews>
  <sheetFormatPr defaultRowHeight="15" outlineLevelRow="0" outlineLevelCol="0" x14ac:dyDescent="55"/>
  <cols>
    <col min="1" max="1" width="14" customWidth="1"/>
    <col min="2" max="2" width="12" customWidth="1"/>
    <col min="3" max="3" width="34" customWidth="1"/>
    <col min="4" max="4" width="36" customWidth="1"/>
    <col min="5" max="6" width="38" customWidth="1"/>
    <col min="7" max="7" width="28" customWidth="1"/>
    <col min="8" max="8" width="16" customWidth="1"/>
    <col min="9" max="9" width="12" customWidth="1"/>
    <col min="10" max="10" width="40" customWidth="1"/>
    <col min="11" max="11" width="16" customWidth="1"/>
    <col min="12" max="12" width="14" customWidth="1"/>
  </cols>
  <sheetData>
    <row r="1" ht="36" customHeight="1" spans="1:12" x14ac:dyDescent="0.25">
      <c r="A1" s="1" t="s">
        <v>635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 x14ac:dyDescent="0.25">
      <c r="A2" s="2" t="s">
        <v>636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10" customHeight="1" x14ac:dyDescent="0.25"/>
    <row r="4" ht="28" customHeight="1" spans="1:12" x14ac:dyDescent="0.25">
      <c r="A4" s="28" t="s">
        <v>96</v>
      </c>
      <c r="B4" s="28" t="s">
        <v>97</v>
      </c>
      <c r="C4" s="29" t="s">
        <v>98</v>
      </c>
      <c r="D4" s="29" t="s">
        <v>99</v>
      </c>
      <c r="E4" s="29" t="s">
        <v>100</v>
      </c>
      <c r="F4" s="29" t="s">
        <v>101</v>
      </c>
      <c r="G4" s="29" t="s">
        <v>102</v>
      </c>
      <c r="H4" s="28" t="s">
        <v>10</v>
      </c>
      <c r="I4" s="28" t="s">
        <v>17</v>
      </c>
      <c r="J4" s="29" t="s">
        <v>103</v>
      </c>
      <c r="K4" s="29" t="s">
        <v>104</v>
      </c>
      <c r="L4" s="29" t="s">
        <v>105</v>
      </c>
    </row>
    <row r="5" ht="32" customHeight="1" spans="1:12" x14ac:dyDescent="0.25">
      <c r="A5" s="30" t="s">
        <v>637</v>
      </c>
      <c r="B5" s="30" t="s">
        <v>154</v>
      </c>
      <c r="C5" s="31" t="s">
        <v>638</v>
      </c>
      <c r="D5" s="31" t="s">
        <v>156</v>
      </c>
      <c r="E5" s="31" t="s">
        <v>639</v>
      </c>
      <c r="F5" s="31" t="s">
        <v>640</v>
      </c>
      <c r="G5" s="31" t="s">
        <v>641</v>
      </c>
      <c r="H5" s="32" t="s">
        <v>113</v>
      </c>
      <c r="I5" s="33">
        <f>IF(OR(H5="Completed",H5="PASS"),1,IF(H5="In Progress",0.5,0))</f>
        <v>1</v>
      </c>
      <c r="J5" s="31" t="s">
        <v>642</v>
      </c>
      <c r="K5" s="30" t="s">
        <v>115</v>
      </c>
      <c r="L5" s="30" t="s">
        <v>116</v>
      </c>
    </row>
    <row r="6" ht="32" customHeight="1" spans="1:12" x14ac:dyDescent="0.25">
      <c r="A6" s="34" t="s">
        <v>643</v>
      </c>
      <c r="B6" s="34" t="s">
        <v>154</v>
      </c>
      <c r="C6" s="35" t="s">
        <v>405</v>
      </c>
      <c r="D6" s="35" t="s">
        <v>156</v>
      </c>
      <c r="E6" s="35" t="s">
        <v>644</v>
      </c>
      <c r="F6" s="35" t="s">
        <v>645</v>
      </c>
      <c r="G6" s="35" t="s">
        <v>641</v>
      </c>
      <c r="H6" s="32" t="s">
        <v>113</v>
      </c>
      <c r="I6" s="36">
        <f>IF(OR(H6="Completed",H6="PASS"),1,IF(H6="In Progress",0.5,0))</f>
        <v>1</v>
      </c>
      <c r="J6" s="35" t="s">
        <v>646</v>
      </c>
      <c r="K6" s="34" t="s">
        <v>115</v>
      </c>
      <c r="L6" s="34" t="s">
        <v>116</v>
      </c>
    </row>
    <row r="7" ht="32" customHeight="1" spans="1:12" x14ac:dyDescent="0.25">
      <c r="A7" s="30" t="s">
        <v>647</v>
      </c>
      <c r="B7" s="30" t="s">
        <v>107</v>
      </c>
      <c r="C7" s="31" t="s">
        <v>648</v>
      </c>
      <c r="D7" s="31" t="s">
        <v>649</v>
      </c>
      <c r="E7" s="31" t="s">
        <v>650</v>
      </c>
      <c r="F7" s="31" t="s">
        <v>651</v>
      </c>
      <c r="G7" s="31" t="s">
        <v>652</v>
      </c>
      <c r="H7" s="32" t="s">
        <v>113</v>
      </c>
      <c r="I7" s="33">
        <f>IF(OR(H7="Completed",H7="PASS"),1,IF(H7="In Progress",0.5,0))</f>
        <v>1</v>
      </c>
      <c r="J7" s="31" t="s">
        <v>653</v>
      </c>
      <c r="K7" s="30" t="s">
        <v>115</v>
      </c>
      <c r="L7" s="30" t="s">
        <v>116</v>
      </c>
    </row>
    <row r="8" ht="32" customHeight="1" spans="1:12" x14ac:dyDescent="0.25">
      <c r="A8" s="34" t="s">
        <v>654</v>
      </c>
      <c r="B8" s="34" t="s">
        <v>107</v>
      </c>
      <c r="C8" s="35" t="s">
        <v>648</v>
      </c>
      <c r="D8" s="35" t="s">
        <v>655</v>
      </c>
      <c r="E8" s="35" t="s">
        <v>656</v>
      </c>
      <c r="F8" s="35" t="s">
        <v>657</v>
      </c>
      <c r="G8" s="35" t="s">
        <v>658</v>
      </c>
      <c r="H8" s="32" t="s">
        <v>113</v>
      </c>
      <c r="I8" s="36">
        <f>IF(OR(H8="Completed",H8="PASS"),1,IF(H8="In Progress",0.5,0))</f>
        <v>1</v>
      </c>
      <c r="J8" s="35" t="s">
        <v>659</v>
      </c>
      <c r="K8" s="34" t="s">
        <v>115</v>
      </c>
      <c r="L8" s="34" t="s">
        <v>116</v>
      </c>
    </row>
    <row r="9" ht="32" customHeight="1" spans="1:12" x14ac:dyDescent="0.25">
      <c r="A9" s="30" t="s">
        <v>660</v>
      </c>
      <c r="B9" s="30" t="s">
        <v>107</v>
      </c>
      <c r="C9" s="31" t="s">
        <v>648</v>
      </c>
      <c r="D9" s="31" t="s">
        <v>661</v>
      </c>
      <c r="E9" s="31" t="s">
        <v>662</v>
      </c>
      <c r="F9" s="31" t="s">
        <v>663</v>
      </c>
      <c r="G9" s="31" t="s">
        <v>326</v>
      </c>
      <c r="H9" s="32" t="s">
        <v>113</v>
      </c>
      <c r="I9" s="33">
        <f>IF(OR(H9="Completed",H9="PASS"),1,IF(H9="In Progress",0.5,0))</f>
        <v>1</v>
      </c>
      <c r="J9" s="31" t="s">
        <v>664</v>
      </c>
      <c r="K9" s="30" t="s">
        <v>115</v>
      </c>
      <c r="L9" s="30" t="s">
        <v>116</v>
      </c>
    </row>
    <row r="10" ht="32" customHeight="1" spans="1:12" x14ac:dyDescent="0.25">
      <c r="A10" s="34" t="s">
        <v>665</v>
      </c>
      <c r="B10" s="34" t="s">
        <v>107</v>
      </c>
      <c r="C10" s="35" t="s">
        <v>666</v>
      </c>
      <c r="D10" s="35" t="s">
        <v>156</v>
      </c>
      <c r="E10" s="35" t="s">
        <v>667</v>
      </c>
      <c r="F10" s="35" t="s">
        <v>668</v>
      </c>
      <c r="G10" s="35" t="s">
        <v>669</v>
      </c>
      <c r="H10" s="32" t="s">
        <v>113</v>
      </c>
      <c r="I10" s="36">
        <f>IF(OR(H10="Completed",H10="PASS"),1,IF(H10="In Progress",0.5,0))</f>
        <v>1</v>
      </c>
      <c r="J10" s="35" t="s">
        <v>670</v>
      </c>
      <c r="K10" s="34" t="s">
        <v>115</v>
      </c>
      <c r="L10" s="34" t="s">
        <v>116</v>
      </c>
    </row>
    <row r="11" ht="32" customHeight="1" spans="1:12" x14ac:dyDescent="0.25">
      <c r="A11" s="30" t="s">
        <v>671</v>
      </c>
      <c r="B11" s="30" t="s">
        <v>107</v>
      </c>
      <c r="C11" s="31" t="s">
        <v>672</v>
      </c>
      <c r="D11" s="31" t="s">
        <v>673</v>
      </c>
      <c r="E11" s="31" t="s">
        <v>674</v>
      </c>
      <c r="F11" s="31" t="s">
        <v>675</v>
      </c>
      <c r="G11" s="31" t="s">
        <v>676</v>
      </c>
      <c r="H11" s="32" t="s">
        <v>113</v>
      </c>
      <c r="I11" s="33">
        <f>IF(OR(H11="Completed",H11="PASS"),1,IF(H11="In Progress",0.5,0))</f>
        <v>1</v>
      </c>
      <c r="J11" s="31" t="s">
        <v>677</v>
      </c>
      <c r="K11" s="30" t="s">
        <v>115</v>
      </c>
      <c r="L11" s="30" t="s">
        <v>116</v>
      </c>
    </row>
    <row r="12" ht="32" customHeight="1" spans="1:12" x14ac:dyDescent="0.25">
      <c r="A12" s="34" t="s">
        <v>678</v>
      </c>
      <c r="B12" s="34" t="s">
        <v>154</v>
      </c>
      <c r="C12" s="35" t="s">
        <v>679</v>
      </c>
      <c r="D12" s="35" t="s">
        <v>156</v>
      </c>
      <c r="E12" s="35" t="s">
        <v>680</v>
      </c>
      <c r="F12" s="35" t="s">
        <v>681</v>
      </c>
      <c r="G12" s="35" t="s">
        <v>641</v>
      </c>
      <c r="H12" s="32" t="s">
        <v>113</v>
      </c>
      <c r="I12" s="36">
        <f>IF(OR(H12="Completed",H12="PASS"),1,IF(H12="In Progress",0.5,0))</f>
        <v>1</v>
      </c>
      <c r="J12" s="35" t="s">
        <v>682</v>
      </c>
      <c r="K12" s="34" t="s">
        <v>115</v>
      </c>
      <c r="L12" s="34" t="s">
        <v>116</v>
      </c>
    </row>
    <row r="13" ht="32" customHeight="1" spans="1:12" x14ac:dyDescent="0.25">
      <c r="A13" s="30" t="s">
        <v>683</v>
      </c>
      <c r="B13" s="30" t="s">
        <v>154</v>
      </c>
      <c r="C13" s="31" t="s">
        <v>684</v>
      </c>
      <c r="D13" s="31" t="s">
        <v>156</v>
      </c>
      <c r="E13" s="31" t="s">
        <v>685</v>
      </c>
      <c r="F13" s="31" t="s">
        <v>686</v>
      </c>
      <c r="G13" s="31" t="s">
        <v>641</v>
      </c>
      <c r="H13" s="32" t="s">
        <v>113</v>
      </c>
      <c r="I13" s="33">
        <f>IF(OR(H13="Completed",H13="PASS"),1,IF(H13="In Progress",0.5,0))</f>
        <v>1</v>
      </c>
      <c r="J13" s="31" t="s">
        <v>687</v>
      </c>
      <c r="K13" s="30" t="s">
        <v>115</v>
      </c>
      <c r="L13" s="30" t="s">
        <v>116</v>
      </c>
    </row>
    <row r="14" ht="32" customHeight="1" spans="1:12" x14ac:dyDescent="0.25">
      <c r="A14" s="34" t="s">
        <v>688</v>
      </c>
      <c r="B14" s="34" t="s">
        <v>154</v>
      </c>
      <c r="C14" s="35" t="s">
        <v>689</v>
      </c>
      <c r="D14" s="35" t="s">
        <v>156</v>
      </c>
      <c r="E14" s="35" t="s">
        <v>690</v>
      </c>
      <c r="F14" s="35" t="s">
        <v>691</v>
      </c>
      <c r="G14" s="35" t="s">
        <v>641</v>
      </c>
      <c r="H14" s="32" t="s">
        <v>113</v>
      </c>
      <c r="I14" s="36">
        <f>IF(OR(H14="Completed",H14="PASS"),1,IF(H14="In Progress",0.5,0))</f>
        <v>1</v>
      </c>
      <c r="J14" s="35" t="s">
        <v>692</v>
      </c>
      <c r="K14" s="34" t="s">
        <v>115</v>
      </c>
      <c r="L14" s="34" t="s">
        <v>116</v>
      </c>
    </row>
  </sheetData>
  <mergeCells count="2">
    <mergeCell ref="A1:L1"/>
    <mergeCell ref="A2:L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workbookViewId="0"/>
  </sheetViews>
  <sheetFormatPr defaultRowHeight="15" outlineLevelRow="0" outlineLevelCol="0" x14ac:dyDescent="55"/>
  <cols>
    <col min="1" max="1" width="14" customWidth="1"/>
    <col min="2" max="2" width="12" customWidth="1"/>
    <col min="3" max="3" width="34" customWidth="1"/>
    <col min="4" max="4" width="36" customWidth="1"/>
    <col min="5" max="6" width="38" customWidth="1"/>
    <col min="7" max="7" width="28" customWidth="1"/>
    <col min="8" max="8" width="16" customWidth="1"/>
    <col min="9" max="9" width="12" customWidth="1"/>
    <col min="10" max="10" width="40" customWidth="1"/>
    <col min="11" max="11" width="16" customWidth="1"/>
    <col min="12" max="12" width="14" customWidth="1"/>
  </cols>
  <sheetData>
    <row r="1" ht="36" customHeight="1" spans="1:12" x14ac:dyDescent="0.25">
      <c r="A1" s="1" t="s">
        <v>693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 x14ac:dyDescent="0.25">
      <c r="A2" s="2" t="s">
        <v>694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10" customHeight="1" x14ac:dyDescent="0.25"/>
    <row r="4" ht="28" customHeight="1" spans="1:12" x14ac:dyDescent="0.25">
      <c r="A4" s="28" t="s">
        <v>96</v>
      </c>
      <c r="B4" s="28" t="s">
        <v>97</v>
      </c>
      <c r="C4" s="29" t="s">
        <v>98</v>
      </c>
      <c r="D4" s="29" t="s">
        <v>99</v>
      </c>
      <c r="E4" s="29" t="s">
        <v>100</v>
      </c>
      <c r="F4" s="29" t="s">
        <v>101</v>
      </c>
      <c r="G4" s="29" t="s">
        <v>102</v>
      </c>
      <c r="H4" s="28" t="s">
        <v>10</v>
      </c>
      <c r="I4" s="28" t="s">
        <v>17</v>
      </c>
      <c r="J4" s="29" t="s">
        <v>103</v>
      </c>
      <c r="K4" s="29" t="s">
        <v>104</v>
      </c>
      <c r="L4" s="29" t="s">
        <v>105</v>
      </c>
    </row>
    <row r="5" ht="32" customHeight="1" spans="1:12" x14ac:dyDescent="0.25">
      <c r="A5" s="30" t="s">
        <v>695</v>
      </c>
      <c r="B5" s="30" t="s">
        <v>154</v>
      </c>
      <c r="C5" s="31" t="s">
        <v>696</v>
      </c>
      <c r="D5" s="31" t="s">
        <v>156</v>
      </c>
      <c r="E5" s="31" t="s">
        <v>697</v>
      </c>
      <c r="F5" s="31" t="s">
        <v>698</v>
      </c>
      <c r="G5" s="31" t="s">
        <v>699</v>
      </c>
      <c r="H5" s="32" t="s">
        <v>113</v>
      </c>
      <c r="I5" s="33">
        <f>IF(OR(H5="Completed",H5="PASS"),1,IF(H5="In Progress",0.5,0))</f>
        <v>1</v>
      </c>
      <c r="J5" s="31" t="s">
        <v>700</v>
      </c>
      <c r="K5" s="30" t="s">
        <v>115</v>
      </c>
      <c r="L5" s="30" t="s">
        <v>116</v>
      </c>
    </row>
    <row r="6" ht="32" customHeight="1" spans="1:12" x14ac:dyDescent="0.25">
      <c r="A6" s="34" t="s">
        <v>701</v>
      </c>
      <c r="B6" s="34" t="s">
        <v>154</v>
      </c>
      <c r="C6" s="35" t="s">
        <v>702</v>
      </c>
      <c r="D6" s="35" t="s">
        <v>156</v>
      </c>
      <c r="E6" s="35" t="s">
        <v>703</v>
      </c>
      <c r="F6" s="35" t="s">
        <v>704</v>
      </c>
      <c r="G6" s="35" t="s">
        <v>699</v>
      </c>
      <c r="H6" s="32" t="s">
        <v>113</v>
      </c>
      <c r="I6" s="36">
        <f>IF(OR(H6="Completed",H6="PASS"),1,IF(H6="In Progress",0.5,0))</f>
        <v>1</v>
      </c>
      <c r="J6" s="35" t="s">
        <v>705</v>
      </c>
      <c r="K6" s="34" t="s">
        <v>115</v>
      </c>
      <c r="L6" s="34" t="s">
        <v>116</v>
      </c>
    </row>
    <row r="7" ht="32" customHeight="1" spans="1:12" x14ac:dyDescent="0.25">
      <c r="A7" s="30" t="s">
        <v>706</v>
      </c>
      <c r="B7" s="30" t="s">
        <v>154</v>
      </c>
      <c r="C7" s="31" t="s">
        <v>707</v>
      </c>
      <c r="D7" s="31" t="s">
        <v>156</v>
      </c>
      <c r="E7" s="31" t="s">
        <v>708</v>
      </c>
      <c r="F7" s="31" t="s">
        <v>709</v>
      </c>
      <c r="G7" s="31" t="s">
        <v>699</v>
      </c>
      <c r="H7" s="32" t="s">
        <v>113</v>
      </c>
      <c r="I7" s="33">
        <f>IF(OR(H7="Completed",H7="PASS"),1,IF(H7="In Progress",0.5,0))</f>
        <v>1</v>
      </c>
      <c r="J7" s="31" t="s">
        <v>710</v>
      </c>
      <c r="K7" s="30" t="s">
        <v>115</v>
      </c>
      <c r="L7" s="30" t="s">
        <v>116</v>
      </c>
    </row>
    <row r="8" ht="32" customHeight="1" spans="1:12" x14ac:dyDescent="0.25">
      <c r="A8" s="34" t="s">
        <v>711</v>
      </c>
      <c r="B8" s="34" t="s">
        <v>154</v>
      </c>
      <c r="C8" s="35" t="s">
        <v>712</v>
      </c>
      <c r="D8" s="35" t="s">
        <v>156</v>
      </c>
      <c r="E8" s="35" t="s">
        <v>713</v>
      </c>
      <c r="F8" s="35" t="s">
        <v>714</v>
      </c>
      <c r="G8" s="35" t="s">
        <v>699</v>
      </c>
      <c r="H8" s="32" t="s">
        <v>113</v>
      </c>
      <c r="I8" s="36">
        <f>IF(OR(H8="Completed",H8="PASS"),1,IF(H8="In Progress",0.5,0))</f>
        <v>1</v>
      </c>
      <c r="J8" s="35" t="s">
        <v>715</v>
      </c>
      <c r="K8" s="34" t="s">
        <v>115</v>
      </c>
      <c r="L8" s="34" t="s">
        <v>116</v>
      </c>
    </row>
    <row r="9" ht="32" customHeight="1" spans="1:12" x14ac:dyDescent="0.25">
      <c r="A9" s="30" t="s">
        <v>716</v>
      </c>
      <c r="B9" s="30" t="s">
        <v>107</v>
      </c>
      <c r="C9" s="31" t="s">
        <v>717</v>
      </c>
      <c r="D9" s="31" t="s">
        <v>718</v>
      </c>
      <c r="E9" s="31" t="s">
        <v>719</v>
      </c>
      <c r="F9" s="31" t="s">
        <v>720</v>
      </c>
      <c r="G9" s="31" t="s">
        <v>721</v>
      </c>
      <c r="H9" s="32" t="s">
        <v>113</v>
      </c>
      <c r="I9" s="33">
        <f>IF(OR(H9="Completed",H9="PASS"),1,IF(H9="In Progress",0.5,0))</f>
        <v>1</v>
      </c>
      <c r="J9" s="31" t="s">
        <v>722</v>
      </c>
      <c r="K9" s="30" t="s">
        <v>115</v>
      </c>
      <c r="L9" s="30" t="s">
        <v>116</v>
      </c>
    </row>
    <row r="10" ht="32" customHeight="1" spans="1:12" x14ac:dyDescent="0.25">
      <c r="A10" s="34" t="s">
        <v>723</v>
      </c>
      <c r="B10" s="34" t="s">
        <v>107</v>
      </c>
      <c r="C10" s="35" t="s">
        <v>717</v>
      </c>
      <c r="D10" s="35" t="s">
        <v>724</v>
      </c>
      <c r="E10" s="35" t="s">
        <v>725</v>
      </c>
      <c r="F10" s="35" t="s">
        <v>726</v>
      </c>
      <c r="G10" s="35" t="s">
        <v>326</v>
      </c>
      <c r="H10" s="32" t="s">
        <v>113</v>
      </c>
      <c r="I10" s="36">
        <f>IF(OR(H10="Completed",H10="PASS"),1,IF(H10="In Progress",0.5,0))</f>
        <v>1</v>
      </c>
      <c r="J10" s="35" t="s">
        <v>727</v>
      </c>
      <c r="K10" s="34" t="s">
        <v>115</v>
      </c>
      <c r="L10" s="34" t="s">
        <v>116</v>
      </c>
    </row>
    <row r="11" ht="32" customHeight="1" spans="1:12" x14ac:dyDescent="0.25">
      <c r="A11" s="30" t="s">
        <v>728</v>
      </c>
      <c r="B11" s="30" t="s">
        <v>107</v>
      </c>
      <c r="C11" s="31" t="s">
        <v>729</v>
      </c>
      <c r="D11" s="31" t="s">
        <v>730</v>
      </c>
      <c r="E11" s="31" t="s">
        <v>731</v>
      </c>
      <c r="F11" s="31" t="s">
        <v>732</v>
      </c>
      <c r="G11" s="31" t="s">
        <v>721</v>
      </c>
      <c r="H11" s="32" t="s">
        <v>113</v>
      </c>
      <c r="I11" s="33">
        <f>IF(OR(H11="Completed",H11="PASS"),1,IF(H11="In Progress",0.5,0))</f>
        <v>1</v>
      </c>
      <c r="J11" s="31" t="s">
        <v>733</v>
      </c>
      <c r="K11" s="30" t="s">
        <v>115</v>
      </c>
      <c r="L11" s="30" t="s">
        <v>116</v>
      </c>
    </row>
    <row r="12" ht="32" customHeight="1" spans="1:12" x14ac:dyDescent="0.25">
      <c r="A12" s="34" t="s">
        <v>734</v>
      </c>
      <c r="B12" s="34" t="s">
        <v>107</v>
      </c>
      <c r="C12" s="35" t="s">
        <v>735</v>
      </c>
      <c r="D12" s="35" t="s">
        <v>736</v>
      </c>
      <c r="E12" s="35" t="s">
        <v>737</v>
      </c>
      <c r="F12" s="35" t="s">
        <v>738</v>
      </c>
      <c r="G12" s="35" t="s">
        <v>739</v>
      </c>
      <c r="H12" s="32" t="s">
        <v>113</v>
      </c>
      <c r="I12" s="36">
        <f>IF(OR(H12="Completed",H12="PASS"),1,IF(H12="In Progress",0.5,0))</f>
        <v>1</v>
      </c>
      <c r="J12" s="35" t="s">
        <v>740</v>
      </c>
      <c r="K12" s="34" t="s">
        <v>115</v>
      </c>
      <c r="L12" s="34" t="s">
        <v>116</v>
      </c>
    </row>
    <row r="13" ht="32" customHeight="1" spans="1:12" x14ac:dyDescent="0.25">
      <c r="A13" s="30" t="s">
        <v>741</v>
      </c>
      <c r="B13" s="30" t="s">
        <v>107</v>
      </c>
      <c r="C13" s="31" t="s">
        <v>735</v>
      </c>
      <c r="D13" s="31" t="s">
        <v>742</v>
      </c>
      <c r="E13" s="31" t="s">
        <v>743</v>
      </c>
      <c r="F13" s="31" t="s">
        <v>744</v>
      </c>
      <c r="G13" s="31" t="s">
        <v>745</v>
      </c>
      <c r="H13" s="32" t="s">
        <v>113</v>
      </c>
      <c r="I13" s="33">
        <f>IF(OR(H13="Completed",H13="PASS"),1,IF(H13="In Progress",0.5,0))</f>
        <v>1</v>
      </c>
      <c r="J13" s="31" t="s">
        <v>746</v>
      </c>
      <c r="K13" s="30" t="s">
        <v>115</v>
      </c>
      <c r="L13" s="30" t="s">
        <v>116</v>
      </c>
    </row>
    <row r="14" ht="32" customHeight="1" spans="1:12" x14ac:dyDescent="0.25">
      <c r="A14" s="34" t="s">
        <v>747</v>
      </c>
      <c r="B14" s="34" t="s">
        <v>154</v>
      </c>
      <c r="C14" s="35" t="s">
        <v>748</v>
      </c>
      <c r="D14" s="35" t="s">
        <v>156</v>
      </c>
      <c r="E14" s="35" t="s">
        <v>749</v>
      </c>
      <c r="F14" s="35" t="s">
        <v>750</v>
      </c>
      <c r="G14" s="35" t="s">
        <v>641</v>
      </c>
      <c r="H14" s="32" t="s">
        <v>113</v>
      </c>
      <c r="I14" s="36">
        <f>IF(OR(H14="Completed",H14="PASS"),1,IF(H14="In Progress",0.5,0))</f>
        <v>1</v>
      </c>
      <c r="J14" s="35" t="s">
        <v>751</v>
      </c>
      <c r="K14" s="34" t="s">
        <v>115</v>
      </c>
      <c r="L14" s="34" t="s">
        <v>116</v>
      </c>
    </row>
  </sheetData>
  <mergeCells count="2">
    <mergeCell ref="A1:L1"/>
    <mergeCell ref="A2:L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"/>
  <sheetViews>
    <sheetView workbookViewId="0"/>
  </sheetViews>
  <sheetFormatPr defaultRowHeight="15" outlineLevelRow="0" outlineLevelCol="0" x14ac:dyDescent="55"/>
  <cols>
    <col min="1" max="1" width="14" customWidth="1"/>
    <col min="2" max="2" width="12" customWidth="1"/>
    <col min="3" max="3" width="34" customWidth="1"/>
    <col min="4" max="4" width="36" customWidth="1"/>
    <col min="5" max="6" width="38" customWidth="1"/>
    <col min="7" max="7" width="28" customWidth="1"/>
    <col min="8" max="8" width="16" customWidth="1"/>
    <col min="9" max="9" width="12" customWidth="1"/>
    <col min="10" max="10" width="40" customWidth="1"/>
    <col min="11" max="11" width="16" customWidth="1"/>
    <col min="12" max="12" width="14" customWidth="1"/>
  </cols>
  <sheetData>
    <row r="1" ht="36" customHeight="1" spans="1:12" x14ac:dyDescent="0.25">
      <c r="A1" s="1" t="s">
        <v>752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 x14ac:dyDescent="0.25">
      <c r="A2" s="2" t="s">
        <v>753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10" customHeight="1" x14ac:dyDescent="0.25"/>
    <row r="4" ht="28" customHeight="1" spans="1:12" x14ac:dyDescent="0.25">
      <c r="A4" s="28" t="s">
        <v>96</v>
      </c>
      <c r="B4" s="28" t="s">
        <v>97</v>
      </c>
      <c r="C4" s="29" t="s">
        <v>98</v>
      </c>
      <c r="D4" s="29" t="s">
        <v>99</v>
      </c>
      <c r="E4" s="29" t="s">
        <v>100</v>
      </c>
      <c r="F4" s="29" t="s">
        <v>101</v>
      </c>
      <c r="G4" s="29" t="s">
        <v>102</v>
      </c>
      <c r="H4" s="28" t="s">
        <v>10</v>
      </c>
      <c r="I4" s="28" t="s">
        <v>17</v>
      </c>
      <c r="J4" s="29" t="s">
        <v>103</v>
      </c>
      <c r="K4" s="29" t="s">
        <v>104</v>
      </c>
      <c r="L4" s="29" t="s">
        <v>105</v>
      </c>
    </row>
    <row r="5" ht="32" customHeight="1" spans="1:12" x14ac:dyDescent="0.25">
      <c r="A5" s="30" t="s">
        <v>754</v>
      </c>
      <c r="B5" s="30" t="s">
        <v>154</v>
      </c>
      <c r="C5" s="31" t="s">
        <v>755</v>
      </c>
      <c r="D5" s="31" t="s">
        <v>156</v>
      </c>
      <c r="E5" s="31" t="s">
        <v>756</v>
      </c>
      <c r="F5" s="31" t="s">
        <v>757</v>
      </c>
      <c r="G5" s="31" t="s">
        <v>758</v>
      </c>
      <c r="H5" s="32" t="s">
        <v>113</v>
      </c>
      <c r="I5" s="33">
        <f>IF(OR(H5="Completed",H5="PASS"),1,IF(H5="In Progress",0.5,0))</f>
        <v>1</v>
      </c>
      <c r="J5" s="31" t="s">
        <v>759</v>
      </c>
      <c r="K5" s="30" t="s">
        <v>115</v>
      </c>
      <c r="L5" s="30" t="s">
        <v>116</v>
      </c>
    </row>
    <row r="6" ht="32" customHeight="1" spans="1:12" x14ac:dyDescent="0.25">
      <c r="A6" s="34" t="s">
        <v>760</v>
      </c>
      <c r="B6" s="34" t="s">
        <v>154</v>
      </c>
      <c r="C6" s="35" t="s">
        <v>761</v>
      </c>
      <c r="D6" s="35" t="s">
        <v>156</v>
      </c>
      <c r="E6" s="35" t="s">
        <v>762</v>
      </c>
      <c r="F6" s="35" t="s">
        <v>763</v>
      </c>
      <c r="G6" s="35" t="s">
        <v>758</v>
      </c>
      <c r="H6" s="32" t="s">
        <v>113</v>
      </c>
      <c r="I6" s="36">
        <f>IF(OR(H6="Completed",H6="PASS"),1,IF(H6="In Progress",0.5,0))</f>
        <v>1</v>
      </c>
      <c r="J6" s="35" t="s">
        <v>764</v>
      </c>
      <c r="K6" s="34" t="s">
        <v>115</v>
      </c>
      <c r="L6" s="34" t="s">
        <v>116</v>
      </c>
    </row>
    <row r="7" ht="32" customHeight="1" spans="1:12" x14ac:dyDescent="0.25">
      <c r="A7" s="30" t="s">
        <v>765</v>
      </c>
      <c r="B7" s="30" t="s">
        <v>107</v>
      </c>
      <c r="C7" s="31" t="s">
        <v>766</v>
      </c>
      <c r="D7" s="31" t="s">
        <v>767</v>
      </c>
      <c r="E7" s="31" t="s">
        <v>768</v>
      </c>
      <c r="F7" s="31" t="s">
        <v>769</v>
      </c>
      <c r="G7" s="31" t="s">
        <v>770</v>
      </c>
      <c r="H7" s="32" t="s">
        <v>113</v>
      </c>
      <c r="I7" s="33">
        <f>IF(OR(H7="Completed",H7="PASS"),1,IF(H7="In Progress",0.5,0))</f>
        <v>1</v>
      </c>
      <c r="J7" s="31" t="s">
        <v>771</v>
      </c>
      <c r="K7" s="30" t="s">
        <v>115</v>
      </c>
      <c r="L7" s="30" t="s">
        <v>116</v>
      </c>
    </row>
    <row r="8" ht="32" customHeight="1" spans="1:12" x14ac:dyDescent="0.25">
      <c r="A8" s="34" t="s">
        <v>772</v>
      </c>
      <c r="B8" s="34" t="s">
        <v>107</v>
      </c>
      <c r="C8" s="35" t="s">
        <v>766</v>
      </c>
      <c r="D8" s="35" t="s">
        <v>773</v>
      </c>
      <c r="E8" s="35" t="s">
        <v>774</v>
      </c>
      <c r="F8" s="35" t="s">
        <v>775</v>
      </c>
      <c r="G8" s="35" t="s">
        <v>770</v>
      </c>
      <c r="H8" s="32" t="s">
        <v>113</v>
      </c>
      <c r="I8" s="36">
        <f>IF(OR(H8="Completed",H8="PASS"),1,IF(H8="In Progress",0.5,0))</f>
        <v>1</v>
      </c>
      <c r="J8" s="35" t="s">
        <v>776</v>
      </c>
      <c r="K8" s="34" t="s">
        <v>115</v>
      </c>
      <c r="L8" s="34" t="s">
        <v>116</v>
      </c>
    </row>
    <row r="9" ht="32" customHeight="1" spans="1:12" x14ac:dyDescent="0.25">
      <c r="A9" s="30" t="s">
        <v>777</v>
      </c>
      <c r="B9" s="30" t="s">
        <v>154</v>
      </c>
      <c r="C9" s="31" t="s">
        <v>778</v>
      </c>
      <c r="D9" s="31" t="s">
        <v>156</v>
      </c>
      <c r="E9" s="31" t="s">
        <v>779</v>
      </c>
      <c r="F9" s="31" t="s">
        <v>780</v>
      </c>
      <c r="G9" s="31" t="s">
        <v>641</v>
      </c>
      <c r="H9" s="32" t="s">
        <v>113</v>
      </c>
      <c r="I9" s="33">
        <f>IF(OR(H9="Completed",H9="PASS"),1,IF(H9="In Progress",0.5,0))</f>
        <v>1</v>
      </c>
      <c r="J9" s="31" t="s">
        <v>781</v>
      </c>
      <c r="K9" s="30" t="s">
        <v>115</v>
      </c>
      <c r="L9" s="30" t="s">
        <v>116</v>
      </c>
    </row>
    <row r="10" ht="32" customHeight="1" spans="1:12" x14ac:dyDescent="0.25">
      <c r="A10" s="34" t="s">
        <v>782</v>
      </c>
      <c r="B10" s="34" t="s">
        <v>154</v>
      </c>
      <c r="C10" s="35" t="s">
        <v>783</v>
      </c>
      <c r="D10" s="35" t="s">
        <v>156</v>
      </c>
      <c r="E10" s="35" t="s">
        <v>784</v>
      </c>
      <c r="F10" s="35" t="s">
        <v>785</v>
      </c>
      <c r="G10" s="35" t="s">
        <v>641</v>
      </c>
      <c r="H10" s="32" t="s">
        <v>113</v>
      </c>
      <c r="I10" s="36">
        <f>IF(OR(H10="Completed",H10="PASS"),1,IF(H10="In Progress",0.5,0))</f>
        <v>1</v>
      </c>
      <c r="J10" s="35" t="s">
        <v>786</v>
      </c>
      <c r="K10" s="34" t="s">
        <v>115</v>
      </c>
      <c r="L10" s="34" t="s">
        <v>116</v>
      </c>
    </row>
    <row r="11" ht="32" customHeight="1" spans="1:12" x14ac:dyDescent="0.25">
      <c r="A11" s="30" t="s">
        <v>787</v>
      </c>
      <c r="B11" s="30" t="s">
        <v>154</v>
      </c>
      <c r="C11" s="31" t="s">
        <v>788</v>
      </c>
      <c r="D11" s="31" t="s">
        <v>156</v>
      </c>
      <c r="E11" s="31" t="s">
        <v>789</v>
      </c>
      <c r="F11" s="31" t="s">
        <v>790</v>
      </c>
      <c r="G11" s="31" t="s">
        <v>641</v>
      </c>
      <c r="H11" s="32" t="s">
        <v>113</v>
      </c>
      <c r="I11" s="33">
        <f>IF(OR(H11="Completed",H11="PASS"),1,IF(H11="In Progress",0.5,0))</f>
        <v>1</v>
      </c>
      <c r="J11" s="31" t="s">
        <v>791</v>
      </c>
      <c r="K11" s="30" t="s">
        <v>115</v>
      </c>
      <c r="L11" s="30" t="s">
        <v>116</v>
      </c>
    </row>
    <row r="12" ht="32" customHeight="1" spans="1:12" x14ac:dyDescent="0.25">
      <c r="A12" s="34" t="s">
        <v>792</v>
      </c>
      <c r="B12" s="34" t="s">
        <v>329</v>
      </c>
      <c r="C12" s="35" t="s">
        <v>793</v>
      </c>
      <c r="D12" s="35" t="s">
        <v>156</v>
      </c>
      <c r="E12" s="35" t="s">
        <v>794</v>
      </c>
      <c r="F12" s="35" t="s">
        <v>795</v>
      </c>
      <c r="G12" s="35" t="s">
        <v>796</v>
      </c>
      <c r="H12" s="32" t="s">
        <v>113</v>
      </c>
      <c r="I12" s="36">
        <f>IF(OR(H12="Completed",H12="PASS"),1,IF(H12="In Progress",0.5,0))</f>
        <v>1</v>
      </c>
      <c r="J12" s="35" t="s">
        <v>797</v>
      </c>
      <c r="K12" s="34" t="s">
        <v>115</v>
      </c>
      <c r="L12" s="34" t="s">
        <v>116</v>
      </c>
    </row>
  </sheetData>
  <mergeCells count="2">
    <mergeCell ref="A1:L1"/>
    <mergeCell ref="A2:L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"/>
  <sheetViews>
    <sheetView workbookViewId="0"/>
  </sheetViews>
  <sheetFormatPr defaultRowHeight="15" outlineLevelRow="0" outlineLevelCol="0" x14ac:dyDescent="55"/>
  <cols>
    <col min="1" max="1" width="14" customWidth="1"/>
    <col min="2" max="2" width="12" customWidth="1"/>
    <col min="3" max="3" width="34" customWidth="1"/>
    <col min="4" max="4" width="36" customWidth="1"/>
    <col min="5" max="6" width="38" customWidth="1"/>
    <col min="7" max="7" width="28" customWidth="1"/>
    <col min="8" max="8" width="16" customWidth="1"/>
    <col min="9" max="9" width="12" customWidth="1"/>
    <col min="10" max="10" width="40" customWidth="1"/>
    <col min="11" max="11" width="16" customWidth="1"/>
    <col min="12" max="12" width="14" customWidth="1"/>
  </cols>
  <sheetData>
    <row r="1" ht="36" customHeight="1" spans="1:12" x14ac:dyDescent="0.25">
      <c r="A1" s="1" t="s">
        <v>798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 x14ac:dyDescent="0.25">
      <c r="A2" s="2" t="s">
        <v>799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10" customHeight="1" x14ac:dyDescent="0.25"/>
    <row r="4" ht="28" customHeight="1" spans="1:12" x14ac:dyDescent="0.25">
      <c r="A4" s="28" t="s">
        <v>96</v>
      </c>
      <c r="B4" s="28" t="s">
        <v>97</v>
      </c>
      <c r="C4" s="29" t="s">
        <v>98</v>
      </c>
      <c r="D4" s="29" t="s">
        <v>99</v>
      </c>
      <c r="E4" s="29" t="s">
        <v>100</v>
      </c>
      <c r="F4" s="29" t="s">
        <v>101</v>
      </c>
      <c r="G4" s="29" t="s">
        <v>102</v>
      </c>
      <c r="H4" s="28" t="s">
        <v>10</v>
      </c>
      <c r="I4" s="28" t="s">
        <v>17</v>
      </c>
      <c r="J4" s="29" t="s">
        <v>103</v>
      </c>
      <c r="K4" s="29" t="s">
        <v>104</v>
      </c>
      <c r="L4" s="29" t="s">
        <v>105</v>
      </c>
    </row>
    <row r="5" ht="32" customHeight="1" spans="1:12" x14ac:dyDescent="0.25">
      <c r="A5" s="30" t="s">
        <v>800</v>
      </c>
      <c r="B5" s="30" t="s">
        <v>801</v>
      </c>
      <c r="C5" s="31" t="s">
        <v>802</v>
      </c>
      <c r="D5" s="31" t="s">
        <v>803</v>
      </c>
      <c r="E5" s="31" t="s">
        <v>804</v>
      </c>
      <c r="F5" s="31" t="s">
        <v>805</v>
      </c>
      <c r="G5" s="31" t="s">
        <v>806</v>
      </c>
      <c r="H5" s="32" t="s">
        <v>113</v>
      </c>
      <c r="I5" s="33">
        <f>IF(OR(H5="Completed",H5="PASS"),1,IF(H5="In Progress",0.5,0))</f>
        <v>1</v>
      </c>
      <c r="J5" s="31" t="s">
        <v>807</v>
      </c>
      <c r="K5" s="30" t="s">
        <v>115</v>
      </c>
      <c r="L5" s="30" t="s">
        <v>116</v>
      </c>
    </row>
    <row r="6" ht="32" customHeight="1" spans="1:12" x14ac:dyDescent="0.25">
      <c r="A6" s="34" t="s">
        <v>808</v>
      </c>
      <c r="B6" s="34" t="s">
        <v>801</v>
      </c>
      <c r="C6" s="35" t="s">
        <v>809</v>
      </c>
      <c r="D6" s="35" t="s">
        <v>810</v>
      </c>
      <c r="E6" s="35" t="s">
        <v>811</v>
      </c>
      <c r="F6" s="35" t="s">
        <v>812</v>
      </c>
      <c r="G6" s="35" t="s">
        <v>813</v>
      </c>
      <c r="H6" s="32" t="s">
        <v>113</v>
      </c>
      <c r="I6" s="36">
        <f>IF(OR(H6="Completed",H6="PASS"),1,IF(H6="In Progress",0.5,0))</f>
        <v>1</v>
      </c>
      <c r="J6" s="35" t="s">
        <v>814</v>
      </c>
      <c r="K6" s="34" t="s">
        <v>115</v>
      </c>
      <c r="L6" s="34" t="s">
        <v>116</v>
      </c>
    </row>
    <row r="7" ht="32" customHeight="1" spans="1:12" x14ac:dyDescent="0.25">
      <c r="A7" s="30" t="s">
        <v>815</v>
      </c>
      <c r="B7" s="30" t="s">
        <v>801</v>
      </c>
      <c r="C7" s="31" t="s">
        <v>816</v>
      </c>
      <c r="D7" s="31" t="s">
        <v>817</v>
      </c>
      <c r="E7" s="31" t="s">
        <v>818</v>
      </c>
      <c r="F7" s="31" t="s">
        <v>819</v>
      </c>
      <c r="G7" s="31" t="s">
        <v>820</v>
      </c>
      <c r="H7" s="32" t="s">
        <v>113</v>
      </c>
      <c r="I7" s="33">
        <f>IF(OR(H7="Completed",H7="PASS"),1,IF(H7="In Progress",0.5,0))</f>
        <v>1</v>
      </c>
      <c r="J7" s="31" t="s">
        <v>821</v>
      </c>
      <c r="K7" s="30" t="s">
        <v>115</v>
      </c>
      <c r="L7" s="30" t="s">
        <v>116</v>
      </c>
    </row>
    <row r="8" ht="32" customHeight="1" spans="1:12" x14ac:dyDescent="0.25">
      <c r="A8" s="34" t="s">
        <v>822</v>
      </c>
      <c r="B8" s="34" t="s">
        <v>801</v>
      </c>
      <c r="C8" s="35" t="s">
        <v>823</v>
      </c>
      <c r="D8" s="35" t="s">
        <v>824</v>
      </c>
      <c r="E8" s="35" t="s">
        <v>825</v>
      </c>
      <c r="F8" s="35" t="s">
        <v>826</v>
      </c>
      <c r="G8" s="35" t="s">
        <v>820</v>
      </c>
      <c r="H8" s="32" t="s">
        <v>113</v>
      </c>
      <c r="I8" s="36">
        <f>IF(OR(H8="Completed",H8="PASS"),1,IF(H8="In Progress",0.5,0))</f>
        <v>1</v>
      </c>
      <c r="J8" s="35" t="s">
        <v>827</v>
      </c>
      <c r="K8" s="34" t="s">
        <v>115</v>
      </c>
      <c r="L8" s="34" t="s">
        <v>116</v>
      </c>
    </row>
    <row r="9" ht="32" customHeight="1" spans="1:12" x14ac:dyDescent="0.25">
      <c r="A9" s="30" t="s">
        <v>828</v>
      </c>
      <c r="B9" s="30" t="s">
        <v>801</v>
      </c>
      <c r="C9" s="31" t="s">
        <v>829</v>
      </c>
      <c r="D9" s="31" t="s">
        <v>830</v>
      </c>
      <c r="E9" s="31" t="s">
        <v>831</v>
      </c>
      <c r="F9" s="31" t="s">
        <v>832</v>
      </c>
      <c r="G9" s="31" t="s">
        <v>820</v>
      </c>
      <c r="H9" s="32" t="s">
        <v>113</v>
      </c>
      <c r="I9" s="33">
        <f>IF(OR(H9="Completed",H9="PASS"),1,IF(H9="In Progress",0.5,0))</f>
        <v>1</v>
      </c>
      <c r="J9" s="31" t="s">
        <v>833</v>
      </c>
      <c r="K9" s="30" t="s">
        <v>115</v>
      </c>
      <c r="L9" s="30" t="s">
        <v>116</v>
      </c>
    </row>
    <row r="10" ht="32" customHeight="1" spans="1:12" x14ac:dyDescent="0.25">
      <c r="A10" s="34" t="s">
        <v>834</v>
      </c>
      <c r="B10" s="34" t="s">
        <v>801</v>
      </c>
      <c r="C10" s="35" t="s">
        <v>835</v>
      </c>
      <c r="D10" s="35" t="s">
        <v>836</v>
      </c>
      <c r="E10" s="35" t="s">
        <v>837</v>
      </c>
      <c r="F10" s="35" t="s">
        <v>838</v>
      </c>
      <c r="G10" s="35" t="s">
        <v>820</v>
      </c>
      <c r="H10" s="32" t="s">
        <v>113</v>
      </c>
      <c r="I10" s="36">
        <f>IF(OR(H10="Completed",H10="PASS"),1,IF(H10="In Progress",0.5,0))</f>
        <v>1</v>
      </c>
      <c r="J10" s="35" t="s">
        <v>839</v>
      </c>
      <c r="K10" s="34" t="s">
        <v>115</v>
      </c>
      <c r="L10" s="34" t="s">
        <v>116</v>
      </c>
    </row>
    <row r="11" ht="32" customHeight="1" spans="1:12" x14ac:dyDescent="0.25">
      <c r="A11" s="30" t="s">
        <v>840</v>
      </c>
      <c r="B11" s="30" t="s">
        <v>801</v>
      </c>
      <c r="C11" s="31" t="s">
        <v>841</v>
      </c>
      <c r="D11" s="31" t="s">
        <v>842</v>
      </c>
      <c r="E11" s="31" t="s">
        <v>843</v>
      </c>
      <c r="F11" s="31" t="s">
        <v>844</v>
      </c>
      <c r="G11" s="31" t="s">
        <v>820</v>
      </c>
      <c r="H11" s="32" t="s">
        <v>113</v>
      </c>
      <c r="I11" s="33">
        <f>IF(OR(H11="Completed",H11="PASS"),1,IF(H11="In Progress",0.5,0))</f>
        <v>1</v>
      </c>
      <c r="J11" s="31" t="s">
        <v>845</v>
      </c>
      <c r="K11" s="30" t="s">
        <v>115</v>
      </c>
      <c r="L11" s="30" t="s">
        <v>116</v>
      </c>
    </row>
    <row r="12" ht="32" customHeight="1" spans="1:12" x14ac:dyDescent="0.25">
      <c r="A12" s="34" t="s">
        <v>846</v>
      </c>
      <c r="B12" s="34" t="s">
        <v>801</v>
      </c>
      <c r="C12" s="35" t="s">
        <v>847</v>
      </c>
      <c r="D12" s="35" t="s">
        <v>848</v>
      </c>
      <c r="E12" s="35" t="s">
        <v>849</v>
      </c>
      <c r="F12" s="35" t="s">
        <v>850</v>
      </c>
      <c r="G12" s="35" t="s">
        <v>820</v>
      </c>
      <c r="H12" s="32" t="s">
        <v>113</v>
      </c>
      <c r="I12" s="36">
        <f>IF(OR(H12="Completed",H12="PASS"),1,IF(H12="In Progress",0.5,0))</f>
        <v>1</v>
      </c>
      <c r="J12" s="35" t="s">
        <v>851</v>
      </c>
      <c r="K12" s="34" t="s">
        <v>115</v>
      </c>
      <c r="L12" s="34" t="s">
        <v>116</v>
      </c>
    </row>
    <row r="13" ht="32" customHeight="1" spans="1:12" x14ac:dyDescent="0.25">
      <c r="A13" s="30" t="s">
        <v>852</v>
      </c>
      <c r="B13" s="30" t="s">
        <v>801</v>
      </c>
      <c r="C13" s="31" t="s">
        <v>853</v>
      </c>
      <c r="D13" s="31" t="s">
        <v>854</v>
      </c>
      <c r="E13" s="31" t="s">
        <v>855</v>
      </c>
      <c r="F13" s="31" t="s">
        <v>856</v>
      </c>
      <c r="G13" s="31" t="s">
        <v>820</v>
      </c>
      <c r="H13" s="32" t="s">
        <v>113</v>
      </c>
      <c r="I13" s="33">
        <f>IF(OR(H13="Completed",H13="PASS"),1,IF(H13="In Progress",0.5,0))</f>
        <v>1</v>
      </c>
      <c r="J13" s="31" t="s">
        <v>857</v>
      </c>
      <c r="K13" s="30" t="s">
        <v>115</v>
      </c>
      <c r="L13" s="30" t="s">
        <v>116</v>
      </c>
    </row>
    <row r="14" ht="32" customHeight="1" spans="1:12" x14ac:dyDescent="0.25">
      <c r="A14" s="34" t="s">
        <v>858</v>
      </c>
      <c r="B14" s="34" t="s">
        <v>801</v>
      </c>
      <c r="C14" s="35" t="s">
        <v>859</v>
      </c>
      <c r="D14" s="35" t="s">
        <v>860</v>
      </c>
      <c r="E14" s="35" t="s">
        <v>861</v>
      </c>
      <c r="F14" s="35" t="s">
        <v>862</v>
      </c>
      <c r="G14" s="35" t="s">
        <v>820</v>
      </c>
      <c r="H14" s="32" t="s">
        <v>113</v>
      </c>
      <c r="I14" s="36">
        <f>IF(OR(H14="Completed",H14="PASS"),1,IF(H14="In Progress",0.5,0))</f>
        <v>1</v>
      </c>
      <c r="J14" s="35" t="s">
        <v>863</v>
      </c>
      <c r="K14" s="34" t="s">
        <v>115</v>
      </c>
      <c r="L14" s="34" t="s">
        <v>116</v>
      </c>
    </row>
    <row r="15" ht="32" customHeight="1" spans="1:12" x14ac:dyDescent="0.25">
      <c r="A15" s="30" t="s">
        <v>864</v>
      </c>
      <c r="B15" s="30" t="s">
        <v>801</v>
      </c>
      <c r="C15" s="31" t="s">
        <v>865</v>
      </c>
      <c r="D15" s="31" t="s">
        <v>866</v>
      </c>
      <c r="E15" s="31" t="s">
        <v>867</v>
      </c>
      <c r="F15" s="31" t="s">
        <v>868</v>
      </c>
      <c r="G15" s="31" t="s">
        <v>820</v>
      </c>
      <c r="H15" s="32" t="s">
        <v>113</v>
      </c>
      <c r="I15" s="33">
        <f>IF(OR(H15="Completed",H15="PASS"),1,IF(H15="In Progress",0.5,0))</f>
        <v>1</v>
      </c>
      <c r="J15" s="31" t="s">
        <v>869</v>
      </c>
      <c r="K15" s="30" t="s">
        <v>115</v>
      </c>
      <c r="L15" s="30" t="s">
        <v>116</v>
      </c>
    </row>
    <row r="16" ht="32" customHeight="1" spans="1:12" x14ac:dyDescent="0.25">
      <c r="A16" s="34" t="s">
        <v>870</v>
      </c>
      <c r="B16" s="34" t="s">
        <v>801</v>
      </c>
      <c r="C16" s="35" t="s">
        <v>871</v>
      </c>
      <c r="D16" s="35" t="s">
        <v>872</v>
      </c>
      <c r="E16" s="35" t="s">
        <v>873</v>
      </c>
      <c r="F16" s="35" t="s">
        <v>874</v>
      </c>
      <c r="G16" s="35" t="s">
        <v>820</v>
      </c>
      <c r="H16" s="32" t="s">
        <v>113</v>
      </c>
      <c r="I16" s="36">
        <f>IF(OR(H16="Completed",H16="PASS"),1,IF(H16="In Progress",0.5,0))</f>
        <v>1</v>
      </c>
      <c r="J16" s="35" t="s">
        <v>875</v>
      </c>
      <c r="K16" s="34" t="s">
        <v>115</v>
      </c>
      <c r="L16" s="34" t="s">
        <v>116</v>
      </c>
    </row>
    <row r="17" ht="32" customHeight="1" spans="1:12" x14ac:dyDescent="0.25">
      <c r="A17" s="30" t="s">
        <v>876</v>
      </c>
      <c r="B17" s="30" t="s">
        <v>801</v>
      </c>
      <c r="C17" s="31" t="s">
        <v>877</v>
      </c>
      <c r="D17" s="31" t="s">
        <v>878</v>
      </c>
      <c r="E17" s="31" t="s">
        <v>879</v>
      </c>
      <c r="F17" s="31" t="s">
        <v>880</v>
      </c>
      <c r="G17" s="31" t="s">
        <v>881</v>
      </c>
      <c r="H17" s="32" t="s">
        <v>113</v>
      </c>
      <c r="I17" s="33">
        <f>IF(OR(H17="Completed",H17="PASS"),1,IF(H17="In Progress",0.5,0))</f>
        <v>1</v>
      </c>
      <c r="J17" s="31" t="s">
        <v>882</v>
      </c>
      <c r="K17" s="30" t="s">
        <v>115</v>
      </c>
      <c r="L17" s="30" t="s">
        <v>116</v>
      </c>
    </row>
    <row r="18" ht="32" customHeight="1" spans="1:12" x14ac:dyDescent="0.25">
      <c r="A18" s="34" t="s">
        <v>883</v>
      </c>
      <c r="B18" s="34" t="s">
        <v>801</v>
      </c>
      <c r="C18" s="35" t="s">
        <v>884</v>
      </c>
      <c r="D18" s="35" t="s">
        <v>885</v>
      </c>
      <c r="E18" s="35" t="s">
        <v>886</v>
      </c>
      <c r="F18" s="35" t="s">
        <v>887</v>
      </c>
      <c r="G18" s="35" t="s">
        <v>888</v>
      </c>
      <c r="H18" s="32" t="s">
        <v>113</v>
      </c>
      <c r="I18" s="36">
        <f>IF(OR(H18="Completed",H18="PASS"),1,IF(H18="In Progress",0.5,0))</f>
        <v>1</v>
      </c>
      <c r="J18" s="35" t="s">
        <v>889</v>
      </c>
      <c r="K18" s="34" t="s">
        <v>115</v>
      </c>
      <c r="L18" s="34" t="s">
        <v>116</v>
      </c>
    </row>
  </sheetData>
  <mergeCells count="2">
    <mergeCell ref="A1:L1"/>
    <mergeCell ref="A2:L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Views>
    <sheetView workbookViewId="0"/>
  </sheetViews>
  <sheetFormatPr defaultRowHeight="15" outlineLevelRow="0" outlineLevelCol="0" x14ac:dyDescent="55"/>
  <cols>
    <col min="1" max="1" width="14" customWidth="1"/>
    <col min="2" max="2" width="12" customWidth="1"/>
    <col min="3" max="3" width="34" customWidth="1"/>
    <col min="4" max="4" width="36" customWidth="1"/>
    <col min="5" max="6" width="38" customWidth="1"/>
    <col min="7" max="7" width="28" customWidth="1"/>
    <col min="8" max="8" width="16" customWidth="1"/>
    <col min="9" max="9" width="12" customWidth="1"/>
    <col min="10" max="10" width="40" customWidth="1"/>
    <col min="11" max="11" width="16" customWidth="1"/>
    <col min="12" max="12" width="14" customWidth="1"/>
  </cols>
  <sheetData>
    <row r="1" ht="36" customHeight="1" spans="1:12" x14ac:dyDescent="0.25">
      <c r="A1" s="1" t="s">
        <v>890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 x14ac:dyDescent="0.25">
      <c r="A2" s="2" t="s">
        <v>891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10" customHeight="1" x14ac:dyDescent="0.25"/>
    <row r="4" ht="28" customHeight="1" spans="1:12" x14ac:dyDescent="0.25">
      <c r="A4" s="28" t="s">
        <v>96</v>
      </c>
      <c r="B4" s="28" t="s">
        <v>97</v>
      </c>
      <c r="C4" s="29" t="s">
        <v>98</v>
      </c>
      <c r="D4" s="29" t="s">
        <v>99</v>
      </c>
      <c r="E4" s="29" t="s">
        <v>100</v>
      </c>
      <c r="F4" s="29" t="s">
        <v>101</v>
      </c>
      <c r="G4" s="29" t="s">
        <v>102</v>
      </c>
      <c r="H4" s="28" t="s">
        <v>10</v>
      </c>
      <c r="I4" s="28" t="s">
        <v>17</v>
      </c>
      <c r="J4" s="29" t="s">
        <v>103</v>
      </c>
      <c r="K4" s="29" t="s">
        <v>104</v>
      </c>
      <c r="L4" s="29" t="s">
        <v>105</v>
      </c>
    </row>
    <row r="5" ht="32" customHeight="1" spans="1:12" x14ac:dyDescent="0.25">
      <c r="A5" s="30" t="s">
        <v>892</v>
      </c>
      <c r="B5" s="30" t="s">
        <v>893</v>
      </c>
      <c r="C5" s="31" t="s">
        <v>894</v>
      </c>
      <c r="D5" s="31" t="s">
        <v>895</v>
      </c>
      <c r="E5" s="31" t="s">
        <v>896</v>
      </c>
      <c r="F5" s="31" t="s">
        <v>897</v>
      </c>
      <c r="G5" s="31" t="s">
        <v>898</v>
      </c>
      <c r="H5" s="32" t="s">
        <v>113</v>
      </c>
      <c r="I5" s="33">
        <f>IF(OR(H5="Completed",H5="PASS"),1,IF(H5="In Progress",0.5,0))</f>
        <v>1</v>
      </c>
      <c r="J5" s="31" t="s">
        <v>899</v>
      </c>
      <c r="K5" s="30" t="s">
        <v>115</v>
      </c>
      <c r="L5" s="30" t="s">
        <v>116</v>
      </c>
    </row>
    <row r="6" ht="32" customHeight="1" spans="1:12" x14ac:dyDescent="0.25">
      <c r="A6" s="34" t="s">
        <v>900</v>
      </c>
      <c r="B6" s="34" t="s">
        <v>893</v>
      </c>
      <c r="C6" s="35" t="s">
        <v>901</v>
      </c>
      <c r="D6" s="35" t="s">
        <v>902</v>
      </c>
      <c r="E6" s="35" t="s">
        <v>903</v>
      </c>
      <c r="F6" s="35" t="s">
        <v>904</v>
      </c>
      <c r="G6" s="35" t="s">
        <v>905</v>
      </c>
      <c r="H6" s="32" t="s">
        <v>113</v>
      </c>
      <c r="I6" s="36">
        <f>IF(OR(H6="Completed",H6="PASS"),1,IF(H6="In Progress",0.5,0))</f>
        <v>1</v>
      </c>
      <c r="J6" s="35" t="s">
        <v>906</v>
      </c>
      <c r="K6" s="34" t="s">
        <v>115</v>
      </c>
      <c r="L6" s="34" t="s">
        <v>116</v>
      </c>
    </row>
    <row r="7" ht="32" customHeight="1" spans="1:12" x14ac:dyDescent="0.25">
      <c r="A7" s="30" t="s">
        <v>907</v>
      </c>
      <c r="B7" s="30" t="s">
        <v>893</v>
      </c>
      <c r="C7" s="31" t="s">
        <v>908</v>
      </c>
      <c r="D7" s="31" t="s">
        <v>909</v>
      </c>
      <c r="E7" s="31" t="s">
        <v>910</v>
      </c>
      <c r="F7" s="31" t="s">
        <v>911</v>
      </c>
      <c r="G7" s="31" t="s">
        <v>912</v>
      </c>
      <c r="H7" s="32" t="s">
        <v>113</v>
      </c>
      <c r="I7" s="33">
        <f>IF(OR(H7="Completed",H7="PASS"),1,IF(H7="In Progress",0.5,0))</f>
        <v>1</v>
      </c>
      <c r="J7" s="31" t="s">
        <v>913</v>
      </c>
      <c r="K7" s="30" t="s">
        <v>115</v>
      </c>
      <c r="L7" s="30" t="s">
        <v>116</v>
      </c>
    </row>
    <row r="8" ht="32" customHeight="1" spans="1:12" x14ac:dyDescent="0.25">
      <c r="A8" s="34" t="s">
        <v>914</v>
      </c>
      <c r="B8" s="34" t="s">
        <v>893</v>
      </c>
      <c r="C8" s="35" t="s">
        <v>915</v>
      </c>
      <c r="D8" s="35" t="s">
        <v>916</v>
      </c>
      <c r="E8" s="35" t="s">
        <v>917</v>
      </c>
      <c r="F8" s="35" t="s">
        <v>918</v>
      </c>
      <c r="G8" s="35" t="s">
        <v>919</v>
      </c>
      <c r="H8" s="32" t="s">
        <v>113</v>
      </c>
      <c r="I8" s="36">
        <f>IF(OR(H8="Completed",H8="PASS"),1,IF(H8="In Progress",0.5,0))</f>
        <v>1</v>
      </c>
      <c r="J8" s="35" t="s">
        <v>920</v>
      </c>
      <c r="K8" s="34" t="s">
        <v>115</v>
      </c>
      <c r="L8" s="34" t="s">
        <v>116</v>
      </c>
    </row>
    <row r="9" ht="32" customHeight="1" spans="1:12" x14ac:dyDescent="0.25">
      <c r="A9" s="30" t="s">
        <v>921</v>
      </c>
      <c r="B9" s="30" t="s">
        <v>893</v>
      </c>
      <c r="C9" s="31" t="s">
        <v>922</v>
      </c>
      <c r="D9" s="31" t="s">
        <v>923</v>
      </c>
      <c r="E9" s="31" t="s">
        <v>924</v>
      </c>
      <c r="F9" s="31" t="s">
        <v>925</v>
      </c>
      <c r="G9" s="31" t="s">
        <v>926</v>
      </c>
      <c r="H9" s="32" t="s">
        <v>113</v>
      </c>
      <c r="I9" s="33">
        <f>IF(OR(H9="Completed",H9="PASS"),1,IF(H9="In Progress",0.5,0))</f>
        <v>1</v>
      </c>
      <c r="J9" s="31" t="s">
        <v>927</v>
      </c>
      <c r="K9" s="30" t="s">
        <v>115</v>
      </c>
      <c r="L9" s="30" t="s">
        <v>116</v>
      </c>
    </row>
    <row r="10" ht="32" customHeight="1" spans="1:12" x14ac:dyDescent="0.25">
      <c r="A10" s="34" t="s">
        <v>928</v>
      </c>
      <c r="B10" s="34" t="s">
        <v>893</v>
      </c>
      <c r="C10" s="35" t="s">
        <v>929</v>
      </c>
      <c r="D10" s="35" t="s">
        <v>930</v>
      </c>
      <c r="E10" s="35" t="s">
        <v>931</v>
      </c>
      <c r="F10" s="35" t="s">
        <v>932</v>
      </c>
      <c r="G10" s="35" t="s">
        <v>933</v>
      </c>
      <c r="H10" s="32" t="s">
        <v>113</v>
      </c>
      <c r="I10" s="36">
        <f>IF(OR(H10="Completed",H10="PASS"),1,IF(H10="In Progress",0.5,0))</f>
        <v>1</v>
      </c>
      <c r="J10" s="35" t="s">
        <v>934</v>
      </c>
      <c r="K10" s="34" t="s">
        <v>115</v>
      </c>
      <c r="L10" s="34" t="s">
        <v>116</v>
      </c>
    </row>
  </sheetData>
  <mergeCells count="2">
    <mergeCell ref="A1:L1"/>
    <mergeCell ref="A2:L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workbookViewId="0"/>
  </sheetViews>
  <sheetFormatPr defaultRowHeight="15" outlineLevelRow="0" outlineLevelCol="0" x14ac:dyDescent="55"/>
  <cols>
    <col min="1" max="1" width="14" customWidth="1"/>
    <col min="2" max="2" width="12" customWidth="1"/>
    <col min="3" max="3" width="34" customWidth="1"/>
    <col min="4" max="4" width="36" customWidth="1"/>
    <col min="5" max="6" width="38" customWidth="1"/>
    <col min="7" max="7" width="28" customWidth="1"/>
    <col min="8" max="8" width="16" customWidth="1"/>
    <col min="9" max="9" width="12" customWidth="1"/>
    <col min="10" max="10" width="40" customWidth="1"/>
    <col min="11" max="11" width="16" customWidth="1"/>
    <col min="12" max="12" width="14" customWidth="1"/>
  </cols>
  <sheetData>
    <row r="1" ht="36" customHeight="1" spans="1:12" x14ac:dyDescent="0.25">
      <c r="A1" s="1" t="s">
        <v>935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 x14ac:dyDescent="0.25">
      <c r="A2" s="2" t="s">
        <v>936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10" customHeight="1" x14ac:dyDescent="0.25"/>
    <row r="4" ht="28" customHeight="1" spans="1:12" x14ac:dyDescent="0.25">
      <c r="A4" s="28" t="s">
        <v>96</v>
      </c>
      <c r="B4" s="28" t="s">
        <v>97</v>
      </c>
      <c r="C4" s="29" t="s">
        <v>98</v>
      </c>
      <c r="D4" s="29" t="s">
        <v>99</v>
      </c>
      <c r="E4" s="29" t="s">
        <v>100</v>
      </c>
      <c r="F4" s="29" t="s">
        <v>101</v>
      </c>
      <c r="G4" s="29" t="s">
        <v>102</v>
      </c>
      <c r="H4" s="28" t="s">
        <v>10</v>
      </c>
      <c r="I4" s="28" t="s">
        <v>17</v>
      </c>
      <c r="J4" s="29" t="s">
        <v>103</v>
      </c>
      <c r="K4" s="29" t="s">
        <v>104</v>
      </c>
      <c r="L4" s="29" t="s">
        <v>105</v>
      </c>
    </row>
    <row r="5" ht="32" customHeight="1" spans="1:12" x14ac:dyDescent="0.25">
      <c r="A5" s="30" t="s">
        <v>937</v>
      </c>
      <c r="B5" s="30" t="s">
        <v>938</v>
      </c>
      <c r="C5" s="31" t="s">
        <v>939</v>
      </c>
      <c r="D5" s="31" t="s">
        <v>940</v>
      </c>
      <c r="E5" s="31" t="s">
        <v>941</v>
      </c>
      <c r="F5" s="31" t="s">
        <v>942</v>
      </c>
      <c r="G5" s="31" t="s">
        <v>943</v>
      </c>
      <c r="H5" s="32" t="s">
        <v>113</v>
      </c>
      <c r="I5" s="33">
        <f>IF(OR(H5="Completed",H5="PASS"),1,IF(H5="In Progress",0.5,0))</f>
        <v>1</v>
      </c>
      <c r="J5" s="31" t="s">
        <v>944</v>
      </c>
      <c r="K5" s="30" t="s">
        <v>115</v>
      </c>
      <c r="L5" s="30" t="s">
        <v>116</v>
      </c>
    </row>
    <row r="6" ht="32" customHeight="1" spans="1:12" x14ac:dyDescent="0.25">
      <c r="A6" s="34" t="s">
        <v>945</v>
      </c>
      <c r="B6" s="34" t="s">
        <v>938</v>
      </c>
      <c r="C6" s="35" t="s">
        <v>946</v>
      </c>
      <c r="D6" s="35" t="s">
        <v>947</v>
      </c>
      <c r="E6" s="35" t="s">
        <v>948</v>
      </c>
      <c r="F6" s="35" t="s">
        <v>949</v>
      </c>
      <c r="G6" s="35" t="s">
        <v>950</v>
      </c>
      <c r="H6" s="32" t="s">
        <v>113</v>
      </c>
      <c r="I6" s="36">
        <f>IF(OR(H6="Completed",H6="PASS"),1,IF(H6="In Progress",0.5,0))</f>
        <v>1</v>
      </c>
      <c r="J6" s="35" t="s">
        <v>951</v>
      </c>
      <c r="K6" s="34" t="s">
        <v>115</v>
      </c>
      <c r="L6" s="34" t="s">
        <v>116</v>
      </c>
    </row>
    <row r="7" ht="32" customHeight="1" spans="1:12" x14ac:dyDescent="0.25">
      <c r="A7" s="30" t="s">
        <v>952</v>
      </c>
      <c r="B7" s="30" t="s">
        <v>938</v>
      </c>
      <c r="C7" s="31" t="s">
        <v>953</v>
      </c>
      <c r="D7" s="31" t="s">
        <v>954</v>
      </c>
      <c r="E7" s="31" t="s">
        <v>955</v>
      </c>
      <c r="F7" s="31" t="s">
        <v>956</v>
      </c>
      <c r="G7" s="31" t="s">
        <v>957</v>
      </c>
      <c r="H7" s="32" t="s">
        <v>113</v>
      </c>
      <c r="I7" s="33">
        <f>IF(OR(H7="Completed",H7="PASS"),1,IF(H7="In Progress",0.5,0))</f>
        <v>1</v>
      </c>
      <c r="J7" s="31" t="s">
        <v>958</v>
      </c>
      <c r="K7" s="30" t="s">
        <v>115</v>
      </c>
      <c r="L7" s="30" t="s">
        <v>116</v>
      </c>
    </row>
    <row r="8" ht="32" customHeight="1" spans="1:12" x14ac:dyDescent="0.25">
      <c r="A8" s="34" t="s">
        <v>959</v>
      </c>
      <c r="B8" s="34" t="s">
        <v>938</v>
      </c>
      <c r="C8" s="35" t="s">
        <v>960</v>
      </c>
      <c r="D8" s="35" t="s">
        <v>961</v>
      </c>
      <c r="E8" s="35" t="s">
        <v>962</v>
      </c>
      <c r="F8" s="35" t="s">
        <v>963</v>
      </c>
      <c r="G8" s="35" t="s">
        <v>957</v>
      </c>
      <c r="H8" s="32" t="s">
        <v>113</v>
      </c>
      <c r="I8" s="36">
        <f>IF(OR(H8="Completed",H8="PASS"),1,IF(H8="In Progress",0.5,0))</f>
        <v>1</v>
      </c>
      <c r="J8" s="35" t="s">
        <v>964</v>
      </c>
      <c r="K8" s="34" t="s">
        <v>115</v>
      </c>
      <c r="L8" s="34" t="s">
        <v>116</v>
      </c>
    </row>
    <row r="9" ht="32" customHeight="1" spans="1:12" x14ac:dyDescent="0.25">
      <c r="A9" s="30" t="s">
        <v>965</v>
      </c>
      <c r="B9" s="30" t="s">
        <v>966</v>
      </c>
      <c r="C9" s="31" t="s">
        <v>967</v>
      </c>
      <c r="D9" s="31" t="s">
        <v>968</v>
      </c>
      <c r="E9" s="31" t="s">
        <v>969</v>
      </c>
      <c r="F9" s="31" t="s">
        <v>970</v>
      </c>
      <c r="G9" s="31" t="s">
        <v>971</v>
      </c>
      <c r="H9" s="32" t="s">
        <v>113</v>
      </c>
      <c r="I9" s="33">
        <f>IF(OR(H9="Completed",H9="PASS"),1,IF(H9="In Progress",0.5,0))</f>
        <v>1</v>
      </c>
      <c r="J9" s="31" t="s">
        <v>972</v>
      </c>
      <c r="K9" s="30" t="s">
        <v>115</v>
      </c>
      <c r="L9" s="30" t="s">
        <v>116</v>
      </c>
    </row>
    <row r="10" ht="32" customHeight="1" spans="1:12" x14ac:dyDescent="0.25">
      <c r="A10" s="34" t="s">
        <v>973</v>
      </c>
      <c r="B10" s="34" t="s">
        <v>966</v>
      </c>
      <c r="C10" s="35" t="s">
        <v>974</v>
      </c>
      <c r="D10" s="35" t="s">
        <v>975</v>
      </c>
      <c r="E10" s="35" t="s">
        <v>976</v>
      </c>
      <c r="F10" s="35" t="s">
        <v>977</v>
      </c>
      <c r="G10" s="35" t="s">
        <v>971</v>
      </c>
      <c r="H10" s="32" t="s">
        <v>113</v>
      </c>
      <c r="I10" s="36">
        <f>IF(OR(H10="Completed",H10="PASS"),1,IF(H10="In Progress",0.5,0))</f>
        <v>1</v>
      </c>
      <c r="J10" s="35" t="s">
        <v>978</v>
      </c>
      <c r="K10" s="34" t="s">
        <v>115</v>
      </c>
      <c r="L10" s="34" t="s">
        <v>116</v>
      </c>
    </row>
    <row r="11" ht="32" customHeight="1" spans="1:12" x14ac:dyDescent="0.25">
      <c r="A11" s="30" t="s">
        <v>979</v>
      </c>
      <c r="B11" s="30" t="s">
        <v>980</v>
      </c>
      <c r="C11" s="31" t="s">
        <v>981</v>
      </c>
      <c r="D11" s="31" t="s">
        <v>982</v>
      </c>
      <c r="E11" s="31" t="s">
        <v>983</v>
      </c>
      <c r="F11" s="31" t="s">
        <v>984</v>
      </c>
      <c r="G11" s="31" t="s">
        <v>985</v>
      </c>
      <c r="H11" s="32" t="s">
        <v>113</v>
      </c>
      <c r="I11" s="33">
        <f>IF(OR(H11="Completed",H11="PASS"),1,IF(H11="In Progress",0.5,0))</f>
        <v>1</v>
      </c>
      <c r="J11" s="31" t="s">
        <v>986</v>
      </c>
      <c r="K11" s="30" t="s">
        <v>115</v>
      </c>
      <c r="L11" s="30" t="s">
        <v>116</v>
      </c>
    </row>
    <row r="12" ht="32" customHeight="1" spans="1:12" x14ac:dyDescent="0.25">
      <c r="A12" s="34" t="s">
        <v>987</v>
      </c>
      <c r="B12" s="34" t="s">
        <v>988</v>
      </c>
      <c r="C12" s="35" t="s">
        <v>989</v>
      </c>
      <c r="D12" s="35" t="s">
        <v>990</v>
      </c>
      <c r="E12" s="35" t="s">
        <v>991</v>
      </c>
      <c r="F12" s="35" t="s">
        <v>992</v>
      </c>
      <c r="G12" s="35" t="s">
        <v>993</v>
      </c>
      <c r="H12" s="32" t="s">
        <v>113</v>
      </c>
      <c r="I12" s="36">
        <f>IF(OR(H12="Completed",H12="PASS"),1,IF(H12="In Progress",0.5,0))</f>
        <v>1</v>
      </c>
      <c r="J12" s="35" t="s">
        <v>994</v>
      </c>
      <c r="K12" s="34" t="s">
        <v>115</v>
      </c>
      <c r="L12" s="34" t="s">
        <v>116</v>
      </c>
    </row>
    <row r="13" ht="32" customHeight="1" spans="1:12" x14ac:dyDescent="0.25">
      <c r="A13" s="30" t="s">
        <v>995</v>
      </c>
      <c r="B13" s="30" t="s">
        <v>988</v>
      </c>
      <c r="C13" s="31" t="s">
        <v>996</v>
      </c>
      <c r="D13" s="31" t="s">
        <v>997</v>
      </c>
      <c r="E13" s="31" t="s">
        <v>998</v>
      </c>
      <c r="F13" s="31" t="s">
        <v>999</v>
      </c>
      <c r="G13" s="31" t="s">
        <v>1000</v>
      </c>
      <c r="H13" s="32" t="s">
        <v>113</v>
      </c>
      <c r="I13" s="33">
        <f>IF(OR(H13="Completed",H13="PASS"),1,IF(H13="In Progress",0.5,0))</f>
        <v>1</v>
      </c>
      <c r="J13" s="31" t="s">
        <v>1001</v>
      </c>
      <c r="K13" s="30" t="s">
        <v>115</v>
      </c>
      <c r="L13" s="30" t="s">
        <v>116</v>
      </c>
    </row>
    <row r="14" ht="32" customHeight="1" spans="1:12" x14ac:dyDescent="0.25">
      <c r="A14" s="34" t="s">
        <v>1002</v>
      </c>
      <c r="B14" s="34" t="s">
        <v>1003</v>
      </c>
      <c r="C14" s="35" t="s">
        <v>263</v>
      </c>
      <c r="D14" s="35" t="s">
        <v>1004</v>
      </c>
      <c r="E14" s="35" t="s">
        <v>1005</v>
      </c>
      <c r="F14" s="35" t="s">
        <v>1006</v>
      </c>
      <c r="G14" s="35" t="s">
        <v>1007</v>
      </c>
      <c r="H14" s="32" t="s">
        <v>113</v>
      </c>
      <c r="I14" s="36">
        <f>IF(OR(H14="Completed",H14="PASS"),1,IF(H14="In Progress",0.5,0))</f>
        <v>1</v>
      </c>
      <c r="J14" s="35" t="s">
        <v>1008</v>
      </c>
      <c r="K14" s="34" t="s">
        <v>115</v>
      </c>
      <c r="L14" s="34" t="s">
        <v>116</v>
      </c>
    </row>
    <row r="15" ht="32" customHeight="1" spans="1:12" x14ac:dyDescent="0.25">
      <c r="A15" s="30" t="s">
        <v>1009</v>
      </c>
      <c r="B15" s="30" t="s">
        <v>1003</v>
      </c>
      <c r="C15" s="31" t="s">
        <v>424</v>
      </c>
      <c r="D15" s="31" t="s">
        <v>1010</v>
      </c>
      <c r="E15" s="31" t="s">
        <v>1011</v>
      </c>
      <c r="F15" s="31" t="s">
        <v>1012</v>
      </c>
      <c r="G15" s="31" t="s">
        <v>326</v>
      </c>
      <c r="H15" s="32" t="s">
        <v>113</v>
      </c>
      <c r="I15" s="33">
        <f>IF(OR(H15="Completed",H15="PASS"),1,IF(H15="In Progress",0.5,0))</f>
        <v>1</v>
      </c>
      <c r="J15" s="31" t="s">
        <v>1013</v>
      </c>
      <c r="K15" s="30" t="s">
        <v>115</v>
      </c>
      <c r="L15" s="30" t="s">
        <v>116</v>
      </c>
    </row>
    <row r="16" ht="32" customHeight="1" spans="1:12" x14ac:dyDescent="0.25">
      <c r="A16" s="34" t="s">
        <v>1014</v>
      </c>
      <c r="B16" s="34" t="s">
        <v>1003</v>
      </c>
      <c r="C16" s="35" t="s">
        <v>1015</v>
      </c>
      <c r="D16" s="35" t="s">
        <v>1016</v>
      </c>
      <c r="E16" s="35" t="s">
        <v>1017</v>
      </c>
      <c r="F16" s="35" t="s">
        <v>1018</v>
      </c>
      <c r="G16" s="35" t="s">
        <v>1019</v>
      </c>
      <c r="H16" s="32" t="s">
        <v>113</v>
      </c>
      <c r="I16" s="36">
        <f>IF(OR(H16="Completed",H16="PASS"),1,IF(H16="In Progress",0.5,0))</f>
        <v>1</v>
      </c>
      <c r="J16" s="35" t="s">
        <v>1020</v>
      </c>
      <c r="K16" s="34" t="s">
        <v>1021</v>
      </c>
      <c r="L16" s="34" t="s">
        <v>116</v>
      </c>
    </row>
  </sheetData>
  <mergeCells count="2">
    <mergeCell ref="A1:L1"/>
    <mergeCell ref="A2:L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FormatPr defaultRowHeight="15" outlineLevelRow="0" outlineLevelCol="0" x14ac:dyDescent="55"/>
  <cols>
    <col min="1" max="1" width="30" customWidth="1"/>
    <col min="2" max="2" width="45" customWidth="1"/>
    <col min="3" max="3" width="65" customWidth="1"/>
  </cols>
  <sheetData>
    <row r="1" ht="36" customHeight="1" spans="1:12" x14ac:dyDescent="0.25">
      <c r="A1" s="1" t="s">
        <v>1022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 x14ac:dyDescent="0.25">
      <c r="A2" s="2" t="s">
        <v>1023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10" customHeight="1" x14ac:dyDescent="0.25"/>
    <row r="4" ht="28" customHeight="1" spans="1:3" x14ac:dyDescent="0.25">
      <c r="A4" s="29" t="s">
        <v>1024</v>
      </c>
      <c r="B4" s="29" t="s">
        <v>1025</v>
      </c>
      <c r="C4" s="29" t="s">
        <v>1026</v>
      </c>
    </row>
    <row r="5" ht="24" customHeight="1" spans="1:3" x14ac:dyDescent="0.25">
      <c r="A5" s="37" t="s">
        <v>1027</v>
      </c>
      <c r="B5" s="38" t="s">
        <v>1028</v>
      </c>
      <c r="C5" s="39" t="s">
        <v>1029</v>
      </c>
    </row>
    <row r="6" ht="24" customHeight="1" spans="1:3" x14ac:dyDescent="0.25">
      <c r="A6" s="40" t="s">
        <v>1030</v>
      </c>
      <c r="B6" s="41" t="s">
        <v>1031</v>
      </c>
      <c r="C6" s="42" t="s">
        <v>1032</v>
      </c>
    </row>
    <row r="7" ht="24" customHeight="1" spans="1:3" x14ac:dyDescent="0.25">
      <c r="A7" s="37" t="s">
        <v>1033</v>
      </c>
      <c r="B7" s="38" t="s">
        <v>1034</v>
      </c>
      <c r="C7" s="39" t="s">
        <v>1035</v>
      </c>
    </row>
    <row r="8" ht="24" customHeight="1" spans="1:3" x14ac:dyDescent="0.25">
      <c r="A8" s="40" t="s">
        <v>1036</v>
      </c>
      <c r="B8" s="41" t="s">
        <v>1037</v>
      </c>
      <c r="C8" s="42" t="s">
        <v>1038</v>
      </c>
    </row>
    <row r="9" ht="24" customHeight="1" spans="1:3" x14ac:dyDescent="0.25">
      <c r="A9" s="37" t="s">
        <v>1039</v>
      </c>
      <c r="B9" s="38" t="s">
        <v>1040</v>
      </c>
      <c r="C9" s="39" t="s">
        <v>1041</v>
      </c>
    </row>
    <row r="10" ht="24" customHeight="1" spans="1:3" x14ac:dyDescent="0.25">
      <c r="A10" s="40" t="s">
        <v>1042</v>
      </c>
      <c r="B10" s="41" t="s">
        <v>1043</v>
      </c>
      <c r="C10" s="42" t="s">
        <v>1044</v>
      </c>
    </row>
    <row r="11" ht="24" customHeight="1" spans="1:3" x14ac:dyDescent="0.25">
      <c r="A11" s="37" t="s">
        <v>1045</v>
      </c>
      <c r="B11" s="38" t="s">
        <v>1046</v>
      </c>
      <c r="C11" s="39" t="s">
        <v>1047</v>
      </c>
    </row>
    <row r="12" ht="24" customHeight="1" spans="1:3" x14ac:dyDescent="0.25">
      <c r="A12" s="40" t="s">
        <v>1048</v>
      </c>
      <c r="B12" s="41" t="s">
        <v>1049</v>
      </c>
      <c r="C12" s="42" t="s">
        <v>1050</v>
      </c>
    </row>
    <row r="13" ht="24" customHeight="1" spans="1:3" x14ac:dyDescent="0.25">
      <c r="A13" s="37" t="s">
        <v>1051</v>
      </c>
      <c r="B13" s="38" t="s">
        <v>1052</v>
      </c>
      <c r="C13" s="39" t="s">
        <v>1053</v>
      </c>
    </row>
    <row r="14" ht="24" customHeight="1" spans="1:3" x14ac:dyDescent="0.25">
      <c r="A14" s="40" t="s">
        <v>1054</v>
      </c>
      <c r="B14" s="41" t="s">
        <v>1055</v>
      </c>
      <c r="C14" s="42" t="s">
        <v>1056</v>
      </c>
    </row>
    <row r="15" ht="24" customHeight="1" spans="1:3" x14ac:dyDescent="0.25">
      <c r="A15" s="37" t="s">
        <v>1057</v>
      </c>
      <c r="B15" s="38" t="s">
        <v>1058</v>
      </c>
      <c r="C15" s="39" t="s">
        <v>1059</v>
      </c>
    </row>
    <row r="16" ht="24" customHeight="1" spans="1:3" x14ac:dyDescent="0.25">
      <c r="A16" s="40" t="s">
        <v>1060</v>
      </c>
      <c r="B16" s="41" t="s">
        <v>1061</v>
      </c>
      <c r="C16" s="42" t="s">
        <v>1062</v>
      </c>
    </row>
    <row r="17" ht="24" customHeight="1" spans="1:3" x14ac:dyDescent="0.25">
      <c r="A17" s="37" t="s">
        <v>1063</v>
      </c>
      <c r="B17" s="38" t="s">
        <v>1064</v>
      </c>
      <c r="C17" s="39" t="s">
        <v>1065</v>
      </c>
    </row>
    <row r="18" ht="24" customHeight="1" spans="1:3" x14ac:dyDescent="0.25">
      <c r="A18" s="40" t="s">
        <v>1066</v>
      </c>
      <c r="B18" s="41" t="s">
        <v>1067</v>
      </c>
      <c r="C18" s="42" t="s">
        <v>1068</v>
      </c>
    </row>
    <row r="19" ht="24" customHeight="1" spans="1:3" x14ac:dyDescent="0.25">
      <c r="A19" s="37" t="s">
        <v>1069</v>
      </c>
      <c r="B19" s="38" t="s">
        <v>1070</v>
      </c>
      <c r="C19" s="39" t="s">
        <v>1071</v>
      </c>
    </row>
    <row r="20" ht="24" customHeight="1" spans="1:3" x14ac:dyDescent="0.25">
      <c r="A20" s="40" t="s">
        <v>1072</v>
      </c>
      <c r="B20" s="41" t="s">
        <v>1073</v>
      </c>
      <c r="C20" s="42" t="s">
        <v>1074</v>
      </c>
    </row>
    <row r="21" ht="24" customHeight="1" spans="1:3" x14ac:dyDescent="0.25">
      <c r="A21" s="37" t="s">
        <v>1075</v>
      </c>
      <c r="B21" s="38" t="s">
        <v>1076</v>
      </c>
      <c r="C21" s="39" t="s">
        <v>1077</v>
      </c>
    </row>
    <row r="22" ht="24" customHeight="1" spans="1:3" x14ac:dyDescent="0.25">
      <c r="A22" s="40" t="s">
        <v>1078</v>
      </c>
      <c r="B22" s="41" t="s">
        <v>968</v>
      </c>
      <c r="C22" s="42" t="s">
        <v>1079</v>
      </c>
    </row>
    <row r="23" ht="24" customHeight="1" spans="1:3" x14ac:dyDescent="0.25">
      <c r="A23" s="37" t="s">
        <v>1080</v>
      </c>
      <c r="B23" s="38" t="s">
        <v>975</v>
      </c>
      <c r="C23" s="39" t="s">
        <v>1081</v>
      </c>
    </row>
    <row r="24" ht="24" customHeight="1" spans="1:3" x14ac:dyDescent="0.25">
      <c r="A24" s="40" t="s">
        <v>1082</v>
      </c>
      <c r="B24" s="41" t="s">
        <v>982</v>
      </c>
      <c r="C24" s="42" t="s">
        <v>1083</v>
      </c>
    </row>
  </sheetData>
  <mergeCells count="2">
    <mergeCell ref="A1:L1"/>
    <mergeCell ref="A2:L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Dashboard</vt:lpstr>
      <vt:lpstr>Test Instructions and Safety</vt:lpstr>
      <vt:lpstr>Employee Expense Claims</vt:lpstr>
      <vt:lpstr>HR Expense Approval</vt:lpstr>
      <vt:lpstr>Admin Claim Conversion</vt:lpstr>
      <vt:lpstr>Finance Expenses</vt:lpstr>
      <vt:lpstr>Expense Category Consistency</vt:lpstr>
      <vt:lpstr>Expense Reimbursement</vt:lpstr>
      <vt:lpstr>Payments Received</vt:lpstr>
      <vt:lpstr>Payments Made</vt:lpstr>
      <vt:lpstr>Bank Accounts</vt:lpstr>
      <vt:lpstr>Bank Transactions</vt:lpstr>
      <vt:lpstr>General Ledger &amp; Journal</vt:lpstr>
      <vt:lpstr>GST &amp; Tax Integration</vt:lpstr>
      <vt:lpstr>Chart of Accounts &amp; Reports</vt:lpstr>
      <vt:lpstr>Browser UI Verification</vt:lpstr>
      <vt:lpstr>Cross-Module End-to-End</vt:lpstr>
      <vt:lpstr>Regression &amp; Negative Tests</vt:lpstr>
      <vt:lpstr>Environment &amp; Evidence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TexaWave ERP QA &amp; Engineering Team</dc:creator>
  <dc:title/>
  <dc:subject/>
  <dc:description/>
  <cp:keywords/>
  <cp:category/>
  <cp:lastModifiedBy>TexaWave ERP Automated Test Framework</cp:lastModifiedBy>
  <dcterms:created xsi:type="dcterms:W3CDTF">2026-10-29T10:00:00Z</dcterms:created>
  <dcterms:modified xsi:type="dcterms:W3CDTF">2026-10-29T10:00:00Z</dcterms:modified>
</cp:coreProperties>
</file>