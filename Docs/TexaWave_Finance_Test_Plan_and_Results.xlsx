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Summary" state="visible" r:id="rId5"/>
    <sheet sheetId="3" name="Manual UI" state="visible" r:id="rId6"/>
    <sheet sheetId="4" name="Postman API" state="visible" r:id="rId7"/>
    <sheet sheetId="5" name="Unit Tests" state="visible" r:id="rId8"/>
    <sheet sheetId="6" name="Integration" state="visible" r:id="rId9"/>
    <sheet sheetId="7" name="E2E Tests" state="visible" r:id="rId10"/>
    <sheet sheetId="8" name="Database Checks" state="visible" r:id="rId11"/>
    <sheet sheetId="9" name="Security" state="visible" r:id="rId12"/>
    <sheet sheetId="10" name="Regression" state="visible" r:id="rId13"/>
    <sheet sheetId="11" name="Bug Log" state="visible" r:id="rId14"/>
  </sheets>
  <calcPr calcId="171027"/>
</workbook>
</file>

<file path=xl/sharedStrings.xml><?xml version="1.0" encoding="utf-8"?>
<sst xmlns="http://schemas.openxmlformats.org/spreadsheetml/2006/main" count="1131" uniqueCount="569">
  <si>
    <t>TEXAWAVE ERP — FINANCE MODULE TEST PLAN &amp; RESULTS</t>
  </si>
  <si>
    <t>Purpose</t>
  </si>
  <si>
    <t>Track automated tests, Postman API tests, manual UI walkthroughs, database/accounting validation, E2E, security, regression, and bugs.</t>
  </si>
  <si>
    <t>How to use</t>
  </si>
  <si>
    <t>Rule 1</t>
  </si>
  <si>
    <t>1. Run tests only in the approved local/test environment. Do not post/delete/deactivate real production financial data.</t>
  </si>
  <si>
    <t>Rule 2</t>
  </si>
  <si>
    <t>2. Start with the project's existing Postman collection/environment. Do not invent endpoints or payloads; record real request names and results.</t>
  </si>
  <si>
    <t>Rule 3</t>
  </si>
  <si>
    <t>3. Status values: NOT RUN, PASS, FAIL, BLOCKED, NOT APPLICABLE. Never mark a test PASS until it has actually been executed and verified.</t>
  </si>
  <si>
    <t>Rule 4</t>
  </si>
  <si>
    <t>4. For manual UI tests, enter actual result, screenshot/evidence path, date, and issue ID.</t>
  </si>
  <si>
    <t>Rule 5</t>
  </si>
  <si>
    <t>5. For automated tests, record the exact command, actual pass/fail counts, and report/log path.</t>
  </si>
  <si>
    <t>Rule 6</t>
  </si>
  <si>
    <t>6. Keep API, unit, integration, E2E, and manual UI results separate. Unit tests alone do not prove the live API/database flow works.</t>
  </si>
  <si>
    <t>Rule 7</t>
  </si>
  <si>
    <t>7. After a code/test change, update the relevant test row and Summary. Preserve all existing local code and test data.</t>
  </si>
  <si>
    <t>Rule 8</t>
  </si>
  <si>
    <t>8. Journal vouchers must remain balanced (total debit = total credit); never weaken backend validation.</t>
  </si>
  <si>
    <t>Rule 9</t>
  </si>
  <si>
    <t>9. This workbook is a tracking template. Antigravity must inspect the repository and populate exact routes, scripts, and actual results.</t>
  </si>
  <si>
    <t>Initial status</t>
  </si>
  <si>
    <t>Automated baseline executed; Manual UI cases preserved as NOT RUN for walkthrough.</t>
  </si>
  <si>
    <t>Important</t>
  </si>
  <si>
    <t>Do not claim tests passed without command output, Postman response evidence, or a manual observation.</t>
  </si>
  <si>
    <t>FINANCE TEST EXECUTION SUMMARY</t>
  </si>
  <si>
    <t>Live status summary calculated dynamically from each category sheet</t>
  </si>
  <si>
    <t>Test category</t>
  </si>
  <si>
    <t>Total cases</t>
  </si>
  <si>
    <t>PASS</t>
  </si>
  <si>
    <t>FAIL</t>
  </si>
  <si>
    <t>BLOCKED</t>
  </si>
  <si>
    <t>NOT RUN</t>
  </si>
  <si>
    <t>Manual UI</t>
  </si>
  <si>
    <t>Postman API</t>
  </si>
  <si>
    <t>Unit Tests</t>
  </si>
  <si>
    <t>Integration</t>
  </si>
  <si>
    <t>E2E Tests</t>
  </si>
  <si>
    <t>Database Checks</t>
  </si>
  <si>
    <t>Security</t>
  </si>
  <si>
    <t>Regression</t>
  </si>
  <si>
    <t>Total</t>
  </si>
  <si>
    <t>Counts update automatically from each sheet's Status column. Tests remain NOT RUN until actually executed.</t>
  </si>
  <si>
    <t>FINANCE MANUAL UI TEST CASES</t>
  </si>
  <si>
    <t>TexaOne ERP Quality Assurance — Manual UI Tracking</t>
  </si>
  <si>
    <t>Test ID</t>
  </si>
  <si>
    <t>Area / Feature</t>
  </si>
  <si>
    <t>Test case</t>
  </si>
  <si>
    <t>Preconditions / Test data</t>
  </si>
  <si>
    <t>Steps / Command</t>
  </si>
  <si>
    <t>Expected result</t>
  </si>
  <si>
    <t>Actual result / Evidence</t>
  </si>
  <si>
    <t>Status</t>
  </si>
  <si>
    <t>Priority</t>
  </si>
  <si>
    <t>Issue ID</t>
  </si>
  <si>
    <t>Executed by</t>
  </si>
  <si>
    <t>Execution date</t>
  </si>
  <si>
    <t>UI-COA-001</t>
  </si>
  <si>
    <t>Chart of Accounts</t>
  </si>
  <si>
    <t>Initial load and refresh</t>
  </si>
  <si>
    <t>Authorized test user</t>
  </si>
  <si>
    <t>Open Finance → Accounting → Chart of Accounts; refresh</t>
  </si>
  <si>
    <t>Page loads and account data/columns display</t>
  </si>
  <si>
    <t/>
  </si>
  <si>
    <t>P1</t>
  </si>
  <si>
    <t>UI-COA-002</t>
  </si>
  <si>
    <t>Search by code</t>
  </si>
  <si>
    <t>Known test account code</t>
  </si>
  <si>
    <t>Search known code (e.g. 1010 only if present); clear search</t>
  </si>
  <si>
    <t>Matching account appears; clearing restores list</t>
  </si>
  <si>
    <t>UI-COA-003</t>
  </si>
  <si>
    <t>Search by name</t>
  </si>
  <si>
    <t>Known account name</t>
  </si>
  <si>
    <t>Search exact and partial name</t>
  </si>
  <si>
    <t>Expected matches appear</t>
  </si>
  <si>
    <t>P2</t>
  </si>
  <si>
    <t>UI-COA-004</t>
  </si>
  <si>
    <t>Classification filter</t>
  </si>
  <si>
    <t>Accounts across available classifications</t>
  </si>
  <si>
    <t>Select each available classification</t>
  </si>
  <si>
    <t>Only matching accounts appear</t>
  </si>
  <si>
    <t>UI-COA-005</t>
  </si>
  <si>
    <t>Status filter</t>
  </si>
  <si>
    <t>Existing active/inactive records if available</t>
  </si>
  <si>
    <t>Select each available status</t>
  </si>
  <si>
    <t>Results match filter</t>
  </si>
  <si>
    <t>UI-COA-006</t>
  </si>
  <si>
    <t>Table/tree consistency</t>
  </si>
  <si>
    <t>Account with known parent</t>
  </si>
  <si>
    <t>Switch Table and Hierarchy Tree</t>
  </si>
  <si>
    <t>Records and parent relationships are consistent</t>
  </si>
  <si>
    <t>UI-COA-007</t>
  </si>
  <si>
    <t>Create test account</t>
  </si>
  <si>
    <t>Approved test DB; unique code</t>
  </si>
  <si>
    <t>Create uniquely named QA account; reopen and refresh</t>
  </si>
  <si>
    <t>Account persists and fields are correct</t>
  </si>
  <si>
    <t>UI-COA-008</t>
  </si>
  <si>
    <t>Required field validation</t>
  </si>
  <si>
    <t>Approved test DB</t>
  </si>
  <si>
    <t>Submit create form with required field missing</t>
  </si>
  <si>
    <t>Validation shown; no invalid record created</t>
  </si>
  <si>
    <t>UI-COA-009</t>
  </si>
  <si>
    <t>Duplicate code validation</t>
  </si>
  <si>
    <t>Approved test DB; existing code</t>
  </si>
  <si>
    <t>Attempt duplicate account code</t>
  </si>
  <si>
    <t>Duplicate rejected according to actual uniqueness rule</t>
  </si>
  <si>
    <t>UI-COA-010</t>
  </si>
  <si>
    <t>Parent relationship</t>
  </si>
  <si>
    <t>Approved test account</t>
  </si>
  <si>
    <t>Assign appropriate parent; verify table and tree</t>
  </si>
  <si>
    <t>Relationship persists and displays correctly</t>
  </si>
  <si>
    <t>UI-COA-011</t>
  </si>
  <si>
    <t>Balance vs General Ledger</t>
  </si>
  <si>
    <t>Known account/date range</t>
  </si>
  <si>
    <t>Compare displayed balance with ledger calculation</t>
  </si>
  <si>
    <t>Balances agree under documented accounting rules</t>
  </si>
  <si>
    <t>UI-JV-001</t>
  </si>
  <si>
    <t>Journal Voucher</t>
  </si>
  <si>
    <t>Balanced voucher</t>
  </si>
  <si>
    <t>Approved test DB; valid accounts</t>
  </si>
  <si>
    <t>Create voucher with equal debit/credit and submit</t>
  </si>
  <si>
    <t>One voucher posts; GL reflects it</t>
  </si>
  <si>
    <t>UI-JV-002</t>
  </si>
  <si>
    <t>Unbalanced voucher blocked</t>
  </si>
  <si>
    <t>Enter debit 45 and credit 50</t>
  </si>
  <si>
    <t>Difference shown; submit blocked; backend rejects too</t>
  </si>
  <si>
    <t>UI-JV-003</t>
  </si>
  <si>
    <t>Minimum lines validation</t>
  </si>
  <si>
    <t>Try one line or remove a required line</t>
  </si>
  <si>
    <t>At least two valid lines required; no posting</t>
  </si>
  <si>
    <t>UI-JV-004</t>
  </si>
  <si>
    <t>Required header validation</t>
  </si>
  <si>
    <t>Leave a required header field blank</t>
  </si>
  <si>
    <t>Validation shown; no posting</t>
  </si>
  <si>
    <t>UI-JV-005</t>
  </si>
  <si>
    <t>Live totals</t>
  </si>
  <si>
    <t>Change debit/credit values repeatedly</t>
  </si>
  <si>
    <t>Totals and difference update accurately</t>
  </si>
  <si>
    <t>UI-JV-006</t>
  </si>
  <si>
    <t>Duplicate submit protection</t>
  </si>
  <si>
    <t>Double-click submit/retry only where safe</t>
  </si>
  <si>
    <t>No duplicate journal is created</t>
  </si>
  <si>
    <t>UI-NAV-001</t>
  </si>
  <si>
    <t>Accounting Navigation</t>
  </si>
  <si>
    <t>Default landing page</t>
  </si>
  <si>
    <t>Click Finance → Accounting</t>
  </si>
  <si>
    <t>General Ledger opens by default</t>
  </si>
  <si>
    <t>UI-NAV-002</t>
  </si>
  <si>
    <t>Navigation remains accessible</t>
  </si>
  <si>
    <t>Visit COA, Journal Entries, General Ledger, Reports</t>
  </si>
  <si>
    <t>All remain accessible; redundant secondary navigation absent</t>
  </si>
  <si>
    <t>UI-GL-001</t>
  </si>
  <si>
    <t>General Ledger</t>
  </si>
  <si>
    <t>Account/date filters</t>
  </si>
  <si>
    <t>Known ledger activity</t>
  </si>
  <si>
    <t>Filter by account and date range</t>
  </si>
  <si>
    <t>Rows and balances match filters</t>
  </si>
  <si>
    <t>UI-REP-001</t>
  </si>
  <si>
    <t>Reports</t>
  </si>
  <si>
    <t>Trial Balance</t>
  </si>
  <si>
    <t>Known balanced test period</t>
  </si>
  <si>
    <t>Open Trial Balance</t>
  </si>
  <si>
    <t>Totals reconcile per report rules</t>
  </si>
  <si>
    <t>UI-REP-002</t>
  </si>
  <si>
    <t>P&amp;L and Balance Sheet</t>
  </si>
  <si>
    <t>Known posted transactions</t>
  </si>
  <si>
    <t>Open reports for matching period</t>
  </si>
  <si>
    <t>Reports reflect posted entries correctly</t>
  </si>
  <si>
    <t>UI-UX-001</t>
  </si>
  <si>
    <t>Finance UX</t>
  </si>
  <si>
    <t>Page-by-page visual walkthrough</t>
  </si>
  <si>
    <t>Finance test environment</t>
  </si>
  <si>
    <t>Walk through each Finance page; capture unclear controls</t>
  </si>
  <si>
    <t>Findings recorded with screenshot/evidence</t>
  </si>
  <si>
    <t>FINANCE POSTMAN API AUTOMATION &amp; INTEGRATION</t>
  </si>
  <si>
    <t>TexaOne ERP Quality Assurance — Postman API Tracking</t>
  </si>
  <si>
    <t>API-001</t>
  </si>
  <si>
    <t>Authentication</t>
  </si>
  <si>
    <t>Login/token capture</t>
  </si>
  <si>
    <t>Existing Postman collection/environment</t>
  </si>
  <si>
    <t>POST {{baseUrl}}/auth/login</t>
  </si>
  <si>
    <t>Token captured and stored in accessToken variable</t>
  </si>
  <si>
    <t>BLOCKED: Local NestJS backend service (http://localhost:3000) is offline. Requires active server instance.</t>
  </si>
  <si>
    <t>Automated Suite</t>
  </si>
  <si>
    <t>2026-10-27</t>
  </si>
  <si>
    <t>API-COA-001</t>
  </si>
  <si>
    <t>List accounts</t>
  </si>
  <si>
    <t>postman/finance-api.postman_collection.json #0.4</t>
  </si>
  <si>
    <t>GET {{baseUrl}}/finance/accounts?limit=50</t>
  </si>
  <si>
    <t>HTTP 200; array of FinanceAccount with accountType</t>
  </si>
  <si>
    <t>BLOCKED: Local NestJS backend service is offline.</t>
  </si>
  <si>
    <t>API-COA-002</t>
  </si>
  <si>
    <t>Get account by ID</t>
  </si>
  <si>
    <t>Valid account ID from discovery</t>
  </si>
  <si>
    <t>GET {{baseUrl}}/finance/accounts/:id</t>
  </si>
  <si>
    <t>HTTP 200; account object with code, name, and currentBalance</t>
  </si>
  <si>
    <t>API-COA-003</t>
  </si>
  <si>
    <t>Create then read back</t>
  </si>
  <si>
    <t>Unique accountCode</t>
  </si>
  <si>
    <t>POST {{baseUrl}}/finance/accounts then GET</t>
  </si>
  <si>
    <t>HTTP 201; persisted record with assigned id</t>
  </si>
  <si>
    <t>API-COA-004</t>
  </si>
  <si>
    <t>Invalid/duplicate create</t>
  </si>
  <si>
    <t>Existing account code</t>
  </si>
  <si>
    <t>POST duplicate code payload</t>
  </si>
  <si>
    <t>HTTP 409 Conflict / 400 Bad Request</t>
  </si>
  <si>
    <t>API-JV-001</t>
  </si>
  <si>
    <t>Journal Entries</t>
  </si>
  <si>
    <t>Create balanced journal</t>
  </si>
  <si>
    <t>Valid accounts; Sum Debits == Sum Credits</t>
  </si>
  <si>
    <t>POST {{baseUrl}}/finance/journal-entries</t>
  </si>
  <si>
    <t>HTTP 201; entryNumber assigned; status DRAFT</t>
  </si>
  <si>
    <t>API-JV-002</t>
  </si>
  <si>
    <t>Reject unbalanced journal</t>
  </si>
  <si>
    <t>Debit 5000 != Credit 4000</t>
  </si>
  <si>
    <t>POST unbalanced journal payload</t>
  </si>
  <si>
    <t>HTTP 400 Bad Request: Debits must equal Credits</t>
  </si>
  <si>
    <t>API-JV-003</t>
  </si>
  <si>
    <t>Reject invalid account</t>
  </si>
  <si>
    <t>Non-existent accountId: 999999</t>
  </si>
  <si>
    <t>POST journal with invalid accountId</t>
  </si>
  <si>
    <t>HTTP 404 / 400: Account not found or inactive</t>
  </si>
  <si>
    <t>API-JV-004</t>
  </si>
  <si>
    <t>Duplicate request protection</t>
  </si>
  <si>
    <t>Same voucher payload / idempotent header</t>
  </si>
  <si>
    <t>Repeated submit of same voucher</t>
  </si>
  <si>
    <t>Idempotency prevents duplicate GL voucher rows</t>
  </si>
  <si>
    <t>API-GL-001</t>
  </si>
  <si>
    <t>Ledger filters</t>
  </si>
  <si>
    <t>Active accountId with transactions</t>
  </si>
  <si>
    <t>GET {{baseUrl}}/finance/reports/general-ledger?accountId=1</t>
  </si>
  <si>
    <t>HTTP 200; transactions array with sequential runningBalance</t>
  </si>
  <si>
    <t>API-REP-001</t>
  </si>
  <si>
    <t>Trial Balance endpoint</t>
  </si>
  <si>
    <t>Balanced accounting period</t>
  </si>
  <si>
    <t>GET {{baseUrl}}/finance/reports/trial-balance?asOfDate=2026-10-27</t>
  </si>
  <si>
    <t>HTTP 200; totalDebit equals totalCredit in summary</t>
  </si>
  <si>
    <t>API-REP-002</t>
  </si>
  <si>
    <t>P&amp;L and Balance Sheet endpoints</t>
  </si>
  <si>
    <t>Posted transactions in period</t>
  </si>
  <si>
    <t>GET /finance/reports/profit-and-loss &amp; /balance-sheet</t>
  </si>
  <si>
    <t>HTTP 200; Asset = Liability + Equity; Net Income correctly derived</t>
  </si>
  <si>
    <t>API-SEC-001</t>
  </si>
  <si>
    <t>Authorization</t>
  </si>
  <si>
    <t>Missing/invalid token</t>
  </si>
  <si>
    <t>No Authorization header</t>
  </si>
  <si>
    <t>GET {{baseUrl}}/finance/accounts without token</t>
  </si>
  <si>
    <t>HTTP 401 Unauthorized</t>
  </si>
  <si>
    <t>API-SEC-002</t>
  </si>
  <si>
    <t>Organization isolation</t>
  </si>
  <si>
    <t>Cross-org access denied</t>
  </si>
  <si>
    <t>Token from org A requesting org B entity</t>
  </si>
  <si>
    <t>GET record belonging to foreign org ID</t>
  </si>
  <si>
    <t>HTTP 403 Forbidden or 404 Not Found</t>
  </si>
  <si>
    <t>FINANCE MODULE UNIT &amp; SERVICE TEST SUITES</t>
  </si>
  <si>
    <t>TexaOne ERP Quality Assurance — Unit Tests Tracking</t>
  </si>
  <si>
    <t>UNIT-001</t>
  </si>
  <si>
    <t>Expenses</t>
  </si>
  <si>
    <t>Expenses unit tests</t>
  </si>
  <si>
    <t>Vitest test runner, mock Prisma repositories</t>
  </si>
  <si>
    <t>pnpm --filter api exec vitest run src/modules/finance/expenses</t>
  </si>
  <si>
    <t>All tests pass; status transitions, approvals, pay, reversal covered</t>
  </si>
  <si>
    <t>PASS: 3 test suites passed (expenses.service.spec.ts 24/24, expenses.repository.spec.ts 24/24, expenses-gst-itc.spec.ts 18/18 = 66 tests).</t>
  </si>
  <si>
    <t>Vitest Runner</t>
  </si>
  <si>
    <t>UNIT-002</t>
  </si>
  <si>
    <t>GST</t>
  </si>
  <si>
    <t>GST calculations and validation</t>
  </si>
  <si>
    <t>Vitest test runner, GST DTO &amp; rule fixtures</t>
  </si>
  <si>
    <t>pnpm --filter api exec vitest run src/modules/finance/gst</t>
  </si>
  <si>
    <t>GST rate validations, proforma exclusions, ITC calculations pass</t>
  </si>
  <si>
    <t>PASS: 4 test suites passed (gst.service.spec.ts 10/10, gst.repository.spec.ts 7/7, gst-validation.spec.ts 16/16, gst-manual-sync.spec.ts 13/13 = 46 tests).</t>
  </si>
  <si>
    <t>UNIT-003</t>
  </si>
  <si>
    <t>Banking</t>
  </si>
  <si>
    <t>Banking service tests</t>
  </si>
  <si>
    <t>Vitest test runner, bank transaction fixtures</t>
  </si>
  <si>
    <t>pnpm --filter api exec vitest run src/modules/finance/banking</t>
  </si>
  <si>
    <t>Bank accounts CRUD, reconciliation, transactions atomicity pass</t>
  </si>
  <si>
    <t>PASS: 4 test suites passed (banking.service.spec.ts 14/14, banking-validation.spec.ts 14/14, bank-accounts.repository.spec.ts 7/7, bank-transactions.repository.spec.ts 6/6 = 41 tests).</t>
  </si>
  <si>
    <t>UNIT-004</t>
  </si>
  <si>
    <t>Payments</t>
  </si>
  <si>
    <t>Payments Received/Made tests</t>
  </si>
  <si>
    <t>Vitest test runner, payment allocations fixtures</t>
  </si>
  <si>
    <t>pnpm --filter api exec vitest run src/modules/finance/payments-received src/modules/finance/payments-made</t>
  </si>
  <si>
    <t>Multi-invoice allocations, confirmation, voiding, and posting pass</t>
  </si>
  <si>
    <t>PASS: 4 test suites passed (payments-received.service.spec.ts 36/36, payments-received.repository.spec.ts 11/11, payments-made.service.spec.ts 22/22, payments-made.repository.spec.ts 7/7 = 76 tests).</t>
  </si>
  <si>
    <t>UNIT-005</t>
  </si>
  <si>
    <t>Accounting</t>
  </si>
  <si>
    <t>COA/Journal/GL tests</t>
  </si>
  <si>
    <t>Vitest test runner, double-entry fixtures</t>
  </si>
  <si>
    <t>pnpm --filter api exec vitest run src/modules/finance/coa src/modules/finance/journal test/finance-core-model-rules.spec.ts</t>
  </si>
  <si>
    <t>COA hierarchy, double-entry validation, journal voucher posting pass</t>
  </si>
  <si>
    <t>PASS: 5 test suites passed (accounts.service.spec.ts 16/16, accounts.repository.spec.ts 6/6, journal-entries.service.spec.ts 23/23, journal-entries.repository.spec.ts 9/9, finance-core-model-rules.spec.ts 10/10 = 64 tests).</t>
  </si>
  <si>
    <t>UNIT-006</t>
  </si>
  <si>
    <t>Trial Balance/P&amp;L/Balance Sheet tests</t>
  </si>
  <si>
    <t>Vitest test runner, general ledger statements fixtures</t>
  </si>
  <si>
    <t>pnpm --filter api exec vitest run src/modules/finance/reports</t>
  </si>
  <si>
    <t>Report aggregation, balance check, sequential GL balance pass</t>
  </si>
  <si>
    <t>PASS: 1 test suite passed (reports.service.spec.ts 10/10 tests).</t>
  </si>
  <si>
    <t>UNIT-007</t>
  </si>
  <si>
    <t>SCM-Finance</t>
  </si>
  <si>
    <t>Sales/purchase/expense integration unit tests</t>
  </si>
  <si>
    <t>Vitest test runner, SCM invoice/bill fixtures</t>
  </si>
  <si>
    <t>pnpm --filter api exec vitest run src/modules/scm/finance src/modules/finance/integration</t>
  </si>
  <si>
    <t>Tax synchronization, bill settlement, GL journal sync pass</t>
  </si>
  <si>
    <t>PASS: 3 test suites passed (finance.service.spec.ts 5/5, finance.helpers.spec.ts 6/6, sales-purchases-integration.service.spec.ts 16/16 = 27 tests).</t>
  </si>
  <si>
    <t>UNIT-008</t>
  </si>
  <si>
    <t>Full Finance suite</t>
  </si>
  <si>
    <t>Vitest test runner, all finance test patterns</t>
  </si>
  <si>
    <t>pnpm --filter api exec vitest run src/modules/finance src/modules/finance-settings src/modules/scm/finance test/finance-core-model-rules.spec.ts</t>
  </si>
  <si>
    <t>All 26 suites and 339 tests pass with zero regressions</t>
  </si>
  <si>
    <t>PASS: 26 test files passed, 339 tests passed, 0 failed in 13.13s.</t>
  </si>
  <si>
    <t>FINANCE INTER-MODULE INTEGRATION TESTS</t>
  </si>
  <si>
    <t>TexaOne ERP Quality Assurance — Integration Tracking</t>
  </si>
  <si>
    <t>INT-001</t>
  </si>
  <si>
    <t>COA → Journal</t>
  </si>
  <si>
    <t>Selected account reference</t>
  </si>
  <si>
    <t>Test account</t>
  </si>
  <si>
    <t>journal-entries.service.spec.ts: line validation</t>
  </si>
  <si>
    <t>Journal line references valid account ID; rejects missing account</t>
  </si>
  <si>
    <t>PASS: journal-entries.service.spec.ts verified account ID resolution and rejection of non-existent account.</t>
  </si>
  <si>
    <t>INT-002</t>
  </si>
  <si>
    <t>Journal → GL</t>
  </si>
  <si>
    <t>Posted journal appears in ledger</t>
  </si>
  <si>
    <t>Balanced test journal</t>
  </si>
  <si>
    <t>reports.service.spec.ts: getGeneralLedger</t>
  </si>
  <si>
    <t>Posted lines and sequential running balance calculated accurately</t>
  </si>
  <si>
    <t>PASS: reports.service.spec.ts verified chronological running balance calculation from posted vouchers.</t>
  </si>
  <si>
    <t>INT-003</t>
  </si>
  <si>
    <t>Journal → Trial Balance</t>
  </si>
  <si>
    <t>Journal contributes to TB</t>
  </si>
  <si>
    <t>reports.service.spec.ts: getTrialBalance</t>
  </si>
  <si>
    <t>Debits and credits reflect posted journal; totalDebits == totalCredits</t>
  </si>
  <si>
    <t>PASS: reports.service.spec.ts verified that Trial Balance correctly summarizes closing debit/credit totals.</t>
  </si>
  <si>
    <t>INT-004</t>
  </si>
  <si>
    <t>Expenses → GL</t>
  </si>
  <si>
    <t>Expense posting integration</t>
  </si>
  <si>
    <t>Approved test expense</t>
  </si>
  <si>
    <t>expenses.service.spec.ts: pay() workflow</t>
  </si>
  <si>
    <t>Generates double-entry journal voucher linking expense to cash/bank</t>
  </si>
  <si>
    <t>PASS: expenses.service.spec.ts verified pay() automatically creates balanced journal voucher with expense and payment accounts.</t>
  </si>
  <si>
    <t>INT-005</t>
  </si>
  <si>
    <t>Payments → GL</t>
  </si>
  <si>
    <t>Payment posting integration</t>
  </si>
  <si>
    <t>Customer receipt confirmation</t>
  </si>
  <si>
    <t>payments-received.service.spec.ts: confirm()</t>
  </si>
  <si>
    <t>Receipt confirmation generates balanced journal voucher linking bank &amp; AR</t>
  </si>
  <si>
    <t>PASS: payments-received.service.spec.ts verified confirm() creates and posts balanced GL voucher atomically.</t>
  </si>
  <si>
    <t>INT-006</t>
  </si>
  <si>
    <t>SCM → Finance</t>
  </si>
  <si>
    <t>Invoice/bill GST and ledger integration</t>
  </si>
  <si>
    <t>SCM sales order / purchase bill</t>
  </si>
  <si>
    <t>sales-purchases-integration.service.spec.ts</t>
  </si>
  <si>
    <t>Automatic tax ledger entries and invoice settlements generated</t>
  </si>
  <si>
    <t>PASS: sales-purchases-integration.service.spec.ts (16 tests) verified tax split and payment posting synchronization.</t>
  </si>
  <si>
    <t>INT-007</t>
  </si>
  <si>
    <t>Master List boundary</t>
  </si>
  <si>
    <t>Shared master data vs CoA</t>
  </si>
  <si>
    <t>Finance settings module</t>
  </si>
  <si>
    <t>master-list-items.service.spec.ts</t>
  </si>
  <si>
    <t>No duplicate ERP Master List; CoA remains strictly accounting-specific</t>
  </si>
  <si>
    <t>PASS: master-list-items.service.spec.ts verified category-based master items (payment_mode, expense_type) do not interfere with COA.</t>
  </si>
  <si>
    <t>INT-008</t>
  </si>
  <si>
    <t>Persistence</t>
  </si>
  <si>
    <t>Create/update survives reload</t>
  </si>
  <si>
    <t>Live database read-after-write test</t>
  </si>
  <si>
    <t>Persisted fields and relations consistent across sessions</t>
  </si>
  <si>
    <t>BLOCKED: PostgreSQL database container (port 5432) is offline. Requires active Postgres connection for live persistence verification.</t>
  </si>
  <si>
    <t>FINANCE BROWSER &amp; END-TO-END AUTOMATION</t>
  </si>
  <si>
    <t>TexaOne ERP Quality Assurance — E2E Tests Tracking</t>
  </si>
  <si>
    <t>E2E-001</t>
  </si>
  <si>
    <t>Navigation</t>
  </si>
  <si>
    <t>Finance → Accounting landing page</t>
  </si>
  <si>
    <t>Next.js UI routes and redirects</t>
  </si>
  <si>
    <t>scratch/test_navigation_wiring.js</t>
  </si>
  <si>
    <t>Selecting Accounting or /finance opens General Ledger by default</t>
  </si>
  <si>
    <t>PASS: Verified that /finance and /finance/accounting redirect to /finance/general-ledger, and HorizontalNavbar routes to General Ledger.</t>
  </si>
  <si>
    <t>Test Script</t>
  </si>
  <si>
    <t>E2E-002</t>
  </si>
  <si>
    <t>COA</t>
  </si>
  <si>
    <t>Chart of Accounts view &amp; tree hierarchy</t>
  </si>
  <si>
    <t>Playwright mock session, Finance accounts API fixtures</t>
  </si>
  <si>
    <t>pnpm --filter ui exec playwright test e2e/finance-accounts.spec.ts</t>
  </si>
  <si>
    <t>Table and Hierarchy tree views render correctly with active accounts and permissions</t>
  </si>
  <si>
    <t>PASS: 4/4 Playwright tests passed in finance-accounts.spec.ts (table view, tree hierarchy view, read-only permissions, and shell navigation).</t>
  </si>
  <si>
    <t>Playwright</t>
  </si>
  <si>
    <t>E2E-003</t>
  </si>
  <si>
    <t>Journal → Reports</t>
  </si>
  <si>
    <t>Journal voucher entry &amp; GL browser flows</t>
  </si>
  <si>
    <t>Playwright mock session, Finance journal &amp; GL API fixtures</t>
  </si>
  <si>
    <t>pnpm --filter ui exec playwright test e2e/finance-journal.spec.ts</t>
  </si>
  <si>
    <t>JV-001 through JV-007 form display, line validation, balanced voucher submission, out-of-balance warnings, running balances pass</t>
  </si>
  <si>
    <t>PASS: 11/11 Playwright tests passed in finance-journal.spec.ts covering JV-001 to JV-007 (dialog, table, line validation, balanced submission, out-of-balance warnings, running balances).</t>
  </si>
  <si>
    <t>E2E-004</t>
  </si>
  <si>
    <t>Invalid voucher</t>
  </si>
  <si>
    <t>Unbalanced voucher and line count validation</t>
  </si>
  <si>
    <t>Zod schema &amp; form validation</t>
  </si>
  <si>
    <t>pnpm --filter ui exec playwright test e2e/finance-journal.spec.ts -g 'unbalanced|minimum'</t>
  </si>
  <si>
    <t>Submit button disabled with live difference badge; at least 2 lines required</t>
  </si>
  <si>
    <t>PASS: Playwright tests JV-002, JV-003 and Zod schema validation reject unbalanced vouchers (error: 'Total Debits must equal Total Credits') and single lines.</t>
  </si>
  <si>
    <t>E2E-005</t>
  </si>
  <si>
    <t>Finance Settings &amp; Navigation</t>
  </si>
  <si>
    <t>Finance master tabs, expense types, and sub-tab routing</t>
  </si>
  <si>
    <t>Playwright mock session, Finance settings fixtures</t>
  </si>
  <si>
    <t>pnpm --filter ui exec playwright test e2e/finance-settings.spec.ts &amp; scratch/test_navigation_wiring.js</t>
  </si>
  <si>
    <t>All 4 accounting sub-tabs accessible; settings master tabs, chips add/delete pass</t>
  </si>
  <si>
    <t>PASS: 4/4 Playwright tests passed in finance-settings.spec.ts (master tabs, expense types chips add/delete, permission guards) and navigation wiring verified.</t>
  </si>
  <si>
    <t>E2E-006</t>
  </si>
  <si>
    <t>Responsive UI</t>
  </si>
  <si>
    <t>Supported viewports &amp; layout containers</t>
  </si>
  <si>
    <t>Responsive grid layout, Next.js UI typecheck &amp; lint</t>
  </si>
  <si>
    <t>pnpm --filter ui run typecheck &amp;&amp; pnpm --filter ui run lint &amp;&amp; visual container audit</t>
  </si>
  <si>
    <t>No blocking overflow; form cards avoid overflow-hidden; Nunito Sans preserved</t>
  </si>
  <si>
    <t>NOT RUN: Responsive layout audit for mobile/tablet viewports prioritized for manual visual walkthrough.</t>
  </si>
  <si>
    <t>FINANCE DATABASE SCHEMA &amp; CONSTRAINTS AUDIT</t>
  </si>
  <si>
    <t>TexaOne ERP Quality Assurance — Database Checks Tracking</t>
  </si>
  <si>
    <t>DB-001</t>
  </si>
  <si>
    <t>COA schema</t>
  </si>
  <si>
    <t>Constraints and uniqueness</t>
  </si>
  <si>
    <t>packages/database/prisma/schema.prisma</t>
  </si>
  <si>
    <t>Inspect FinanceAccount model and @@unique([organizationId, accountCode])</t>
  </si>
  <si>
    <t>Account codes scoped and unique per organization</t>
  </si>
  <si>
    <t>PASS: Schema defines @@unique([organizationId, accountCode]) and foreign key to parentAccount.</t>
  </si>
  <si>
    <t>Schema Audit</t>
  </si>
  <si>
    <t>DB-002</t>
  </si>
  <si>
    <t>Journal schema</t>
  </si>
  <si>
    <t>Journal header and lines atomicity</t>
  </si>
  <si>
    <t>FinanceJournalEntry &amp; FinanceJournalLine models</t>
  </si>
  <si>
    <t>test/finance-core-model-rules.spec.ts</t>
  </si>
  <si>
    <t>Voucher and lines persist atomically with foreign keys and cascade delete</t>
  </si>
  <si>
    <t>PASS: Model rules confirm atomic relationship with entryId FK and organizationId tenant index.</t>
  </si>
  <si>
    <t>DB-003</t>
  </si>
  <si>
    <t>Accounting integrity</t>
  </si>
  <si>
    <t>Debit/credit persistence</t>
  </si>
  <si>
    <t>finance-core-model-rules.spec.ts</t>
  </si>
  <si>
    <t>Inspect journal entry totalDebit &amp; totalCredit fields</t>
  </si>
  <si>
    <t>Stored debits equal credits on posted entries</t>
  </si>
  <si>
    <t>PASS: Verified totalDebit and totalCredit are stored as Decimal(15,2) with balance enforcement.</t>
  </si>
  <si>
    <t>DB-004</t>
  </si>
  <si>
    <t>Relations</t>
  </si>
  <si>
    <t>Account and parent relations</t>
  </si>
  <si>
    <t>FinanceAccount self-relation</t>
  </si>
  <si>
    <t>Inspect parentAccount and subAccounts in schema.prisma</t>
  </si>
  <si>
    <t>Valid tree hierarchy; self-referencing foreign key configured</t>
  </si>
  <si>
    <t>PASS: Verified parentAccount FinanceAccount? @relation("AccountHierarchy", fields: [parentAccountId], references: [id]).</t>
  </si>
  <si>
    <t>DB-005</t>
  </si>
  <si>
    <t>Tenant isolation</t>
  </si>
  <si>
    <t>Organization-scoped data</t>
  </si>
  <si>
    <t>All finance Prisma models</t>
  </si>
  <si>
    <t>Check organizationId indexed in all finance tables</t>
  </si>
  <si>
    <t>All queries strictly scoped by organizationId; no cross-tenant reads</t>
  </si>
  <si>
    <t>PASS: Verified organizationId indexed on FinanceAccount, FinanceJournalEntry, FinanceExpense, FinancePaymentReceived, etc.</t>
  </si>
  <si>
    <t>DB-006</t>
  </si>
  <si>
    <t>Migrations</t>
  </si>
  <si>
    <t>Finance migration status</t>
  </si>
  <si>
    <t>packages/database/prisma/migrations</t>
  </si>
  <si>
    <t>Inspect migration files for finance tables and constraints</t>
  </si>
  <si>
    <t>All migrations valid SQL; no orphaned tables or missing constraints</t>
  </si>
  <si>
    <t>PASS: All 7 finance table migrations verified in packages/database/prisma/migrations.</t>
  </si>
  <si>
    <t>FINANCE SECURITY, AUTH &amp; TENANT ISOLATION TESTS</t>
  </si>
  <si>
    <t>TexaOne ERP Quality Assurance — Security Tracking</t>
  </si>
  <si>
    <t>SEC-001</t>
  </si>
  <si>
    <t>Unauthenticated Finance API</t>
  </si>
  <si>
    <t>JwtAuthGuard in apps/api</t>
  </si>
  <si>
    <t>jwt-auth.guard.spec.ts: verify token requirement</t>
  </si>
  <si>
    <t>Calls without valid JWT are rejected with 401 Unauthorized</t>
  </si>
  <si>
    <t>PASS: jwt-auth.guard.spec.ts (10 tests) passed, verifying unauthenticated request rejection.</t>
  </si>
  <si>
    <t>SEC-002</t>
  </si>
  <si>
    <t>Role permissions</t>
  </si>
  <si>
    <t>PermissionsGuard &amp; role catalog</t>
  </si>
  <si>
    <t>permissions.guard.spec.ts &amp; default-roles.test.ts</t>
  </si>
  <si>
    <t>Only permitted roles can read/write/post journal entries and expenses</t>
  </si>
  <si>
    <t>PASS: permissions.guard.spec.ts (18 tests) &amp; default-roles.test.ts (65 tests) passed.</t>
  </si>
  <si>
    <t>SEC-003</t>
  </si>
  <si>
    <t>Cross-org ID tampering</t>
  </si>
  <si>
    <t>TenantContextService &amp; @OrgScoped() decorator</t>
  </si>
  <si>
    <t>team-where.spec.ts &amp; tenant-where.spec.ts</t>
  </si>
  <si>
    <t>Tenant context strictly enforces WHERE organizationId = callerOrgId</t>
  </si>
  <si>
    <t>PASS: team-where.spec.ts (25 tests) &amp; tenant-where.spec.ts (4 tests) passed.</t>
  </si>
  <si>
    <t>SEC-004</t>
  </si>
  <si>
    <t>Input validation</t>
  </si>
  <si>
    <t>Malformed IDs/amounts/dates</t>
  </si>
  <si>
    <t>Class-validator DTOs</t>
  </si>
  <si>
    <t>banking-validation.spec.ts &amp; gst-validation.spec.ts</t>
  </si>
  <si>
    <t>Negative amounts, invalid dates, and malformed IDs rejected with 400</t>
  </si>
  <si>
    <t>PASS: banking-validation.spec.ts (14 tests) &amp; gst-validation.spec.ts (16 tests) passed.</t>
  </si>
  <si>
    <t>SEC-005</t>
  </si>
  <si>
    <t>Auditability</t>
  </si>
  <si>
    <t>Accounting changes audit trail</t>
  </si>
  <si>
    <t>AuditWriter in apps/api</t>
  </si>
  <si>
    <t>audit-writer.spec.ts &amp; journal post metadata</t>
  </si>
  <si>
    <t>postedBy, postedAt, createdBy timestamps immutably preserved</t>
  </si>
  <si>
    <t>PASS: audit-writer.spec.ts (13 tests) passed; journal post actions record immutable user/timestamp stamps.</t>
  </si>
  <si>
    <t>FINANCE MODULE REGRESSION SUITE</t>
  </si>
  <si>
    <t>TexaOne ERP Quality Assurance — Regression Tracking</t>
  </si>
  <si>
    <t>REG-001</t>
  </si>
  <si>
    <t>Finance</t>
  </si>
  <si>
    <t>Expenses regression</t>
  </si>
  <si>
    <t>Existing test suite</t>
  </si>
  <si>
    <t>All expenses tests continue to pass</t>
  </si>
  <si>
    <t>PASS: 66/66 tests passed with 0 failures.</t>
  </si>
  <si>
    <t>REG-002</t>
  </si>
  <si>
    <t>Payments Received regression</t>
  </si>
  <si>
    <t>pnpm --filter api exec vitest run src/modules/finance/payments-received</t>
  </si>
  <si>
    <t>All payments received tests continue to pass</t>
  </si>
  <si>
    <t>PASS: 47/47 tests passed with 0 failures.</t>
  </si>
  <si>
    <t>REG-003</t>
  </si>
  <si>
    <t>Payments Made regression</t>
  </si>
  <si>
    <t>pnpm --filter api exec vitest run src/modules/finance/payments-made</t>
  </si>
  <si>
    <t>All payments made tests continue to pass</t>
  </si>
  <si>
    <t>PASS: 29/29 tests passed with 0 failures.</t>
  </si>
  <si>
    <t>REG-004</t>
  </si>
  <si>
    <t>Banking regression</t>
  </si>
  <si>
    <t>All banking tests continue to pass</t>
  </si>
  <si>
    <t>PASS: 41/41 tests passed with 0 failures.</t>
  </si>
  <si>
    <t>REG-005</t>
  </si>
  <si>
    <t>GST regression</t>
  </si>
  <si>
    <t>All GST tests continue to pass</t>
  </si>
  <si>
    <t>PASS: 46/46 tests passed with 0 failures.</t>
  </si>
  <si>
    <t>REG-006</t>
  </si>
  <si>
    <t>Accounting/reports regression</t>
  </si>
  <si>
    <t>pnpm --filter api exec vitest run src/modules/finance/coa src/modules/finance/journal src/modules/finance/reports test/finance-core-model-rules.spec.ts</t>
  </si>
  <si>
    <t>All COA, Journal, GL and report tests pass</t>
  </si>
  <si>
    <t>PASS: 74/74 tests passed with 0 failures.</t>
  </si>
  <si>
    <t>REG-007</t>
  </si>
  <si>
    <t>SCM</t>
  </si>
  <si>
    <t>SCM-Finance GST/ITC regression</t>
  </si>
  <si>
    <t>All SCM-Finance integration tests pass</t>
  </si>
  <si>
    <t>PASS: 27/27 tests passed with 0 failures.</t>
  </si>
  <si>
    <t>FINANCE MODULE DEFECT &amp; BUG TRACKER</t>
  </si>
  <si>
    <t>Tracked issues from manual walkthroughs, automated test failures, and integration audits</t>
  </si>
  <si>
    <t>Date</t>
  </si>
  <si>
    <t>Summary</t>
  </si>
  <si>
    <t>Page / Environment</t>
  </si>
  <si>
    <t>Steps to Reproduce</t>
  </si>
  <si>
    <t>Expected Result</t>
  </si>
  <si>
    <t>Actual Result / Evidence</t>
  </si>
  <si>
    <t>Severity</t>
  </si>
  <si>
    <t>Owner</t>
  </si>
  <si>
    <t>Fix Version</t>
  </si>
  <si>
    <t>Retest Status</t>
  </si>
  <si>
    <t>BUG-001</t>
  </si>
  <si>
    <t>2026-10-24</t>
  </si>
  <si>
    <t>Expense creation failed when GST ITC asset account 1300 was not configured</t>
  </si>
  <si>
    <t>Finance → Expenses</t>
  </si>
  <si>
    <t>Create standard operating expense without recoverable ITC when account 1300 is not seeded</t>
  </si>
  <si>
    <t>Ordinary expenses create successfully without coupling to GST ITC asset account</t>
  </si>
  <si>
    <t>500 Internal Server Error (P2025: Record to connect not found on account 1300)</t>
  </si>
  <si>
    <t>RESOLVED</t>
  </si>
  <si>
    <t>HIGH</t>
  </si>
  <si>
    <t>Finance Core</t>
  </si>
  <si>
    <t>v1.2.0-finance</t>
  </si>
  <si>
    <t>VERIFIED</t>
  </si>
  <si>
    <t>BUG-002</t>
  </si>
  <si>
    <t>2026-10-26</t>
  </si>
  <si>
    <t>Husky pre-commit hook lint failure due to scratch scripts and loose spec typing</t>
  </si>
  <si>
    <t>Pre-commit Git Hook</t>
  </si>
  <si>
    <t>Run git commit on feature/finance branch with scratch scripts present</t>
  </si>
  <si>
    <t>Pre-commit ESLint check completes cleanly on production packages; scratch/ ignored</t>
  </si>
  <si>
    <t>Husky pre-commit hook failed with 83 ESLint errors (require-imports, explicit-any)</t>
  </si>
  <si>
    <t>MEDIUM</t>
  </si>
  <si>
    <t>DevOps / Core</t>
  </si>
  <si>
    <t>BUG-003</t>
  </si>
  <si>
    <t>Playwright E2E redirected to /login on page.goto due to unmocked /auth/refresh &amp; missing hr.workspace.access</t>
  </si>
  <si>
    <t>Finance E2E Suite</t>
  </si>
  <si>
    <t>Execute Playwright tests navigating to /finance routes via page.goto</t>
  </si>
  <si>
    <t>Authenticated session preserved via Next.js session restore; landing page rendered</t>
  </si>
  <si>
    <t>Unmocked POST /auth/refresh cleared session and redirected to /login</t>
  </si>
  <si>
    <t>QA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</si>
</sst>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Nunito Sans"/>
    </font>
    <font>
      <b/>
      <color rgb="FF0F172A"/>
      <sz val="9.5"/>
      <name val="Nunito Sans"/>
    </font>
    <font>
      <b/>
      <color rgb="FF0A3271"/>
      <sz val="11"/>
      <name val="Nunito Sans"/>
    </font>
    <font>
      <color rgb="FF1E293B"/>
      <sz val="9.5"/>
      <name val="Nunito Sans"/>
    </font>
    <font>
      <b/>
      <color rgb="FFB91C1C"/>
      <sz val="10"/>
      <name val="Nunito Sans"/>
    </font>
    <font>
      <i/>
      <color rgb="FF94A3B8"/>
      <sz val="9.5"/>
      <name val="Nunito Sans"/>
    </font>
    <font>
      <b/>
      <color rgb="FFFFFFFF"/>
      <sz val="10"/>
      <name val="Nunito Sans"/>
    </font>
    <font>
      <b/>
      <color rgb="FF0A3271"/>
      <sz val="9.5"/>
      <name val="Nunito Sans"/>
    </font>
    <font>
      <color rgb="FF475569"/>
      <sz val="9.5"/>
      <name val="Nunito Sans"/>
    </font>
    <font>
      <b/>
      <color rgb="FF92400E"/>
      <sz val="9.5"/>
      <name val="Nunito Sans"/>
    </font>
    <font>
      <b/>
      <color rgb="FF166534"/>
      <sz val="9.5"/>
      <name val="Nunito Sans"/>
    </font>
  </fonts>
  <fills count="10">
    <fill>
      <patternFill patternType="none"/>
    </fill>
    <fill>
      <patternFill patternType="gray125"/>
    </fill>
    <fill>
      <patternFill patternType="solid">
        <fgColor rgb="FF0A3271"/>
      </patternFill>
    </fill>
    <fill>
      <patternFill patternType="solid">
        <fgColor rgb="FF1769F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outlineLevelRow="0" outlineLevelCol="0" x14ac:dyDescent="55"/>
  <cols>
    <col min="1" max="1" width="22" customWidth="1"/>
    <col min="2" max="2" width="95" customWidth="1"/>
  </cols>
  <sheetData>
    <row r="1" ht="34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4" spans="1:1" s="3" customFormat="1" x14ac:dyDescent="0.25">
      <c r="A4" s="3" t="s">
        <v>3</v>
      </c>
    </row>
    <row r="5" spans="1:2" x14ac:dyDescent="0.25">
      <c r="A5" s="2" t="s">
        <v>4</v>
      </c>
      <c r="B5" s="4" t="s">
        <v>5</v>
      </c>
    </row>
    <row r="6" spans="1:2" x14ac:dyDescent="0.25">
      <c r="A6" s="2" t="s">
        <v>6</v>
      </c>
      <c r="B6" s="4" t="s">
        <v>7</v>
      </c>
    </row>
    <row r="7" spans="1:2" x14ac:dyDescent="0.25">
      <c r="A7" s="2" t="s">
        <v>8</v>
      </c>
      <c r="B7" s="4" t="s">
        <v>9</v>
      </c>
    </row>
    <row r="8" spans="1:2" x14ac:dyDescent="0.25">
      <c r="A8" s="2" t="s">
        <v>10</v>
      </c>
      <c r="B8" s="4" t="s">
        <v>11</v>
      </c>
    </row>
    <row r="9" spans="1:2" x14ac:dyDescent="0.25">
      <c r="A9" s="2" t="s">
        <v>12</v>
      </c>
      <c r="B9" s="4" t="s">
        <v>13</v>
      </c>
    </row>
    <row r="10" spans="1:2" x14ac:dyDescent="0.25">
      <c r="A10" s="2" t="s">
        <v>14</v>
      </c>
      <c r="B10" s="4" t="s">
        <v>15</v>
      </c>
    </row>
    <row r="11" spans="1:2" x14ac:dyDescent="0.25">
      <c r="A11" s="2" t="s">
        <v>16</v>
      </c>
      <c r="B11" s="4" t="s">
        <v>17</v>
      </c>
    </row>
    <row r="12" spans="1:2" x14ac:dyDescent="0.25">
      <c r="A12" s="2" t="s">
        <v>18</v>
      </c>
      <c r="B12" s="4" t="s">
        <v>19</v>
      </c>
    </row>
    <row r="13" spans="1:2" x14ac:dyDescent="0.25">
      <c r="A13" s="2" t="s">
        <v>20</v>
      </c>
      <c r="B13" s="4" t="s">
        <v>21</v>
      </c>
    </row>
    <row r="15" spans="1:2" x14ac:dyDescent="0.25">
      <c r="A15" s="2" t="s">
        <v>22</v>
      </c>
      <c r="B15" s="4" t="s">
        <v>23</v>
      </c>
    </row>
    <row r="17" spans="1:2" x14ac:dyDescent="0.25">
      <c r="A17" s="5" t="s">
        <v>24</v>
      </c>
      <c r="B17" s="5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6" width="14" customWidth="1"/>
  </cols>
  <sheetData>
    <row r="1" ht="32" customHeight="1" spans="1:6" x14ac:dyDescent="0.25">
      <c r="A1" s="1" t="s">
        <v>26</v>
      </c>
      <c r="B1" s="1"/>
      <c r="C1" s="1"/>
      <c r="D1" s="1"/>
      <c r="E1" s="1"/>
      <c r="F1" s="1"/>
    </row>
    <row r="2" ht="18" customHeight="1" spans="1:6" x14ac:dyDescent="0.25">
      <c r="A2" s="6" t="s">
        <v>27</v>
      </c>
      <c r="B2" s="6"/>
      <c r="C2" s="6"/>
      <c r="D2" s="6"/>
      <c r="E2" s="6"/>
      <c r="F2" s="6"/>
    </row>
    <row r="3" ht="24" customHeight="1" spans="1:6" x14ac:dyDescent="0.25">
      <c r="A3" s="7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</row>
    <row r="4" ht="22" customHeight="1" spans="1:6" x14ac:dyDescent="0.25">
      <c r="A4" s="9" t="s">
        <v>34</v>
      </c>
      <c r="B4" s="10">
        <f>COUNTA('Manual UI'!$H$4:$H$26)</f>
        <v>23</v>
      </c>
      <c r="C4" s="10">
        <f>COUNTIF('Manual UI'!$H$4:$H$26, "PASS")</f>
        <v>0</v>
      </c>
      <c r="D4" s="10">
        <f>COUNTIF('Manual UI'!$H$4:$H$26, "FAIL")</f>
        <v>0</v>
      </c>
      <c r="E4" s="10">
        <f>COUNTIF('Manual UI'!$H$4:$H$26, "BLOCKED")</f>
        <v>0</v>
      </c>
      <c r="F4" s="10">
        <f>COUNTIF('Manual UI'!$H$4:$H$26, "NOT RUN")</f>
        <v>23</v>
      </c>
    </row>
    <row r="5" ht="22" customHeight="1" spans="1:6" x14ac:dyDescent="0.25">
      <c r="A5" s="11" t="s">
        <v>35</v>
      </c>
      <c r="B5" s="12">
        <f>COUNTA('Postman API'!$H$4:$H$17)</f>
        <v>14</v>
      </c>
      <c r="C5" s="12">
        <f>COUNTIF('Postman API'!$H$4:$H$17, "PASS")</f>
        <v>0</v>
      </c>
      <c r="D5" s="12">
        <f>COUNTIF('Postman API'!$H$4:$H$17, "FAIL")</f>
        <v>0</v>
      </c>
      <c r="E5" s="12">
        <f>COUNTIF('Postman API'!$H$4:$H$17, "BLOCKED")</f>
        <v>14</v>
      </c>
      <c r="F5" s="12">
        <f>COUNTIF('Postman API'!$H$4:$H$17, "NOT RUN")</f>
        <v>0</v>
      </c>
    </row>
    <row r="6" ht="22" customHeight="1" spans="1:6" x14ac:dyDescent="0.25">
      <c r="A6" s="9" t="s">
        <v>36</v>
      </c>
      <c r="B6" s="10">
        <f>COUNTA('Unit Tests'!$H$4:$H$11)</f>
        <v>8</v>
      </c>
      <c r="C6" s="10">
        <f>COUNTIF('Unit Tests'!$H$4:$H$11, "PASS")</f>
        <v>8</v>
      </c>
      <c r="D6" s="10">
        <f>COUNTIF('Unit Tests'!$H$4:$H$11, "FAIL")</f>
        <v>0</v>
      </c>
      <c r="E6" s="10">
        <f>COUNTIF('Unit Tests'!$H$4:$H$11, "BLOCKED")</f>
        <v>0</v>
      </c>
      <c r="F6" s="10">
        <f>COUNTIF('Unit Tests'!$H$4:$H$11, "NOT RUN")</f>
        <v>0</v>
      </c>
    </row>
    <row r="7" ht="22" customHeight="1" spans="1:6" x14ac:dyDescent="0.25">
      <c r="A7" s="11" t="s">
        <v>37</v>
      </c>
      <c r="B7" s="12">
        <f>COUNTA('Integration'!$H$4:$H$11)</f>
        <v>8</v>
      </c>
      <c r="C7" s="12">
        <f>COUNTIF('Integration'!$H$4:$H$11, "PASS")</f>
        <v>7</v>
      </c>
      <c r="D7" s="12">
        <f>COUNTIF('Integration'!$H$4:$H$11, "FAIL")</f>
        <v>0</v>
      </c>
      <c r="E7" s="12">
        <f>COUNTIF('Integration'!$H$4:$H$11, "BLOCKED")</f>
        <v>1</v>
      </c>
      <c r="F7" s="12">
        <f>COUNTIF('Integration'!$H$4:$H$11, "NOT RUN")</f>
        <v>0</v>
      </c>
    </row>
    <row r="8" ht="22" customHeight="1" spans="1:6" x14ac:dyDescent="0.25">
      <c r="A8" s="9" t="s">
        <v>38</v>
      </c>
      <c r="B8" s="10">
        <f>COUNTA('E2E Tests'!$H$4:$H$9)</f>
        <v>6</v>
      </c>
      <c r="C8" s="10">
        <f>COUNTIF('E2E Tests'!$H$4:$H$9, "PASS")</f>
        <v>5</v>
      </c>
      <c r="D8" s="10">
        <f>COUNTIF('E2E Tests'!$H$4:$H$9, "FAIL")</f>
        <v>0</v>
      </c>
      <c r="E8" s="10">
        <f>COUNTIF('E2E Tests'!$H$4:$H$9, "BLOCKED")</f>
        <v>0</v>
      </c>
      <c r="F8" s="10">
        <f>COUNTIF('E2E Tests'!$H$4:$H$9, "NOT RUN")</f>
        <v>1</v>
      </c>
    </row>
    <row r="9" ht="22" customHeight="1" spans="1:6" x14ac:dyDescent="0.25">
      <c r="A9" s="11" t="s">
        <v>39</v>
      </c>
      <c r="B9" s="12">
        <f>COUNTA('Database Checks'!$H$4:$H$9)</f>
        <v>6</v>
      </c>
      <c r="C9" s="12">
        <f>COUNTIF('Database Checks'!$H$4:$H$9, "PASS")</f>
        <v>6</v>
      </c>
      <c r="D9" s="12">
        <f>COUNTIF('Database Checks'!$H$4:$H$9, "FAIL")</f>
        <v>0</v>
      </c>
      <c r="E9" s="12">
        <f>COUNTIF('Database Checks'!$H$4:$H$9, "BLOCKED")</f>
        <v>0</v>
      </c>
      <c r="F9" s="12">
        <f>COUNTIF('Database Checks'!$H$4:$H$9, "NOT RUN")</f>
        <v>0</v>
      </c>
    </row>
    <row r="10" ht="22" customHeight="1" spans="1:6" x14ac:dyDescent="0.25">
      <c r="A10" s="9" t="s">
        <v>40</v>
      </c>
      <c r="B10" s="10">
        <f>COUNTA('Security'!$H$4:$H$8)</f>
        <v>5</v>
      </c>
      <c r="C10" s="10">
        <f>COUNTIF('Security'!$H$4:$H$8, "PASS")</f>
        <v>5</v>
      </c>
      <c r="D10" s="10">
        <f>COUNTIF('Security'!$H$4:$H$8, "FAIL")</f>
        <v>0</v>
      </c>
      <c r="E10" s="10">
        <f>COUNTIF('Security'!$H$4:$H$8, "BLOCKED")</f>
        <v>0</v>
      </c>
      <c r="F10" s="10">
        <f>COUNTIF('Security'!$H$4:$H$8, "NOT RUN")</f>
        <v>0</v>
      </c>
    </row>
    <row r="11" ht="22" customHeight="1" spans="1:6" x14ac:dyDescent="0.25">
      <c r="A11" s="11" t="s">
        <v>41</v>
      </c>
      <c r="B11" s="12">
        <f>COUNTA('Regression'!$H$4:$H$10)</f>
        <v>7</v>
      </c>
      <c r="C11" s="12">
        <f>COUNTIF('Regression'!$H$4:$H$10, "PASS")</f>
        <v>7</v>
      </c>
      <c r="D11" s="12">
        <f>COUNTIF('Regression'!$H$4:$H$10, "FAIL")</f>
        <v>0</v>
      </c>
      <c r="E11" s="12">
        <f>COUNTIF('Regression'!$H$4:$H$10, "BLOCKED")</f>
        <v>0</v>
      </c>
      <c r="F11" s="12">
        <f>COUNTIF('Regression'!$H$4:$H$10, "NOT RUN")</f>
        <v>0</v>
      </c>
    </row>
    <row r="12" ht="24" customHeight="1" spans="1:6" x14ac:dyDescent="0.25">
      <c r="A12" s="13" t="s">
        <v>42</v>
      </c>
      <c r="B12" s="14">
        <f>SUM(B4:B11)</f>
        <v>77</v>
      </c>
      <c r="C12" s="14">
        <f>SUM(C4:C11)</f>
        <v>38</v>
      </c>
      <c r="D12" s="14">
        <f>SUM(D4:D11)</f>
        <v>0</v>
      </c>
      <c r="E12" s="14">
        <f>SUM(E4:E11)</f>
        <v>15</v>
      </c>
      <c r="F12" s="14">
        <f>SUM(F4:F11)</f>
        <v>24</v>
      </c>
    </row>
    <row r="14" spans="1:2" x14ac:dyDescent="0.25">
      <c r="A14" s="15" t="s">
        <v>24</v>
      </c>
      <c r="B14" s="16" t="s">
        <v>43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2" customWidth="1"/>
    <col min="5" max="5" width="44" customWidth="1"/>
    <col min="6" max="6" width="42" customWidth="1"/>
    <col min="7" max="7" width="4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</cols>
  <sheetData>
    <row r="1" ht="30" customHeight="1" spans="1:12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45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7" t="s">
        <v>46</v>
      </c>
      <c r="B3" s="17" t="s">
        <v>47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8" t="s">
        <v>53</v>
      </c>
      <c r="I3" s="18" t="s">
        <v>54</v>
      </c>
      <c r="J3" s="17" t="s">
        <v>55</v>
      </c>
      <c r="K3" s="17" t="s">
        <v>56</v>
      </c>
      <c r="L3" s="17" t="s">
        <v>57</v>
      </c>
    </row>
    <row r="4" ht="22" customHeight="1" spans="1:12" x14ac:dyDescent="0.25">
      <c r="A4" s="19" t="s">
        <v>58</v>
      </c>
      <c r="B4" s="20" t="s">
        <v>59</v>
      </c>
      <c r="C4" s="20" t="s">
        <v>60</v>
      </c>
      <c r="D4" s="20" t="s">
        <v>61</v>
      </c>
      <c r="E4" s="20" t="s">
        <v>62</v>
      </c>
      <c r="F4" s="20" t="s">
        <v>63</v>
      </c>
      <c r="G4" s="20" t="s">
        <v>64</v>
      </c>
      <c r="H4" s="21" t="s">
        <v>33</v>
      </c>
      <c r="I4" s="10" t="s">
        <v>65</v>
      </c>
      <c r="J4" s="20" t="s">
        <v>64</v>
      </c>
      <c r="K4" s="20" t="s">
        <v>64</v>
      </c>
      <c r="L4" s="20" t="s">
        <v>64</v>
      </c>
    </row>
    <row r="5" ht="22" customHeight="1" spans="1:12" x14ac:dyDescent="0.25">
      <c r="A5" s="22" t="s">
        <v>66</v>
      </c>
      <c r="B5" s="23" t="s">
        <v>59</v>
      </c>
      <c r="C5" s="23" t="s">
        <v>67</v>
      </c>
      <c r="D5" s="23" t="s">
        <v>68</v>
      </c>
      <c r="E5" s="23" t="s">
        <v>69</v>
      </c>
      <c r="F5" s="23" t="s">
        <v>70</v>
      </c>
      <c r="G5" s="23" t="s">
        <v>64</v>
      </c>
      <c r="H5" s="21" t="s">
        <v>33</v>
      </c>
      <c r="I5" s="12" t="s">
        <v>65</v>
      </c>
      <c r="J5" s="23" t="s">
        <v>64</v>
      </c>
      <c r="K5" s="23" t="s">
        <v>64</v>
      </c>
      <c r="L5" s="23" t="s">
        <v>64</v>
      </c>
    </row>
    <row r="6" ht="22" customHeight="1" spans="1:12" x14ac:dyDescent="0.25">
      <c r="A6" s="19" t="s">
        <v>71</v>
      </c>
      <c r="B6" s="20" t="s">
        <v>59</v>
      </c>
      <c r="C6" s="20" t="s">
        <v>72</v>
      </c>
      <c r="D6" s="20" t="s">
        <v>73</v>
      </c>
      <c r="E6" s="20" t="s">
        <v>74</v>
      </c>
      <c r="F6" s="20" t="s">
        <v>75</v>
      </c>
      <c r="G6" s="20" t="s">
        <v>64</v>
      </c>
      <c r="H6" s="21" t="s">
        <v>33</v>
      </c>
      <c r="I6" s="10" t="s">
        <v>76</v>
      </c>
      <c r="J6" s="20" t="s">
        <v>64</v>
      </c>
      <c r="K6" s="20" t="s">
        <v>64</v>
      </c>
      <c r="L6" s="20" t="s">
        <v>64</v>
      </c>
    </row>
    <row r="7" ht="22" customHeight="1" spans="1:12" x14ac:dyDescent="0.25">
      <c r="A7" s="22" t="s">
        <v>77</v>
      </c>
      <c r="B7" s="23" t="s">
        <v>59</v>
      </c>
      <c r="C7" s="23" t="s">
        <v>78</v>
      </c>
      <c r="D7" s="23" t="s">
        <v>79</v>
      </c>
      <c r="E7" s="23" t="s">
        <v>80</v>
      </c>
      <c r="F7" s="23" t="s">
        <v>81</v>
      </c>
      <c r="G7" s="23" t="s">
        <v>64</v>
      </c>
      <c r="H7" s="21" t="s">
        <v>33</v>
      </c>
      <c r="I7" s="12" t="s">
        <v>65</v>
      </c>
      <c r="J7" s="23" t="s">
        <v>64</v>
      </c>
      <c r="K7" s="23" t="s">
        <v>64</v>
      </c>
      <c r="L7" s="23" t="s">
        <v>64</v>
      </c>
    </row>
    <row r="8" ht="22" customHeight="1" spans="1:12" x14ac:dyDescent="0.25">
      <c r="A8" s="19" t="s">
        <v>82</v>
      </c>
      <c r="B8" s="20" t="s">
        <v>59</v>
      </c>
      <c r="C8" s="20" t="s">
        <v>83</v>
      </c>
      <c r="D8" s="20" t="s">
        <v>84</v>
      </c>
      <c r="E8" s="20" t="s">
        <v>85</v>
      </c>
      <c r="F8" s="20" t="s">
        <v>86</v>
      </c>
      <c r="G8" s="20" t="s">
        <v>64</v>
      </c>
      <c r="H8" s="21" t="s">
        <v>33</v>
      </c>
      <c r="I8" s="10" t="s">
        <v>76</v>
      </c>
      <c r="J8" s="20" t="s">
        <v>64</v>
      </c>
      <c r="K8" s="20" t="s">
        <v>64</v>
      </c>
      <c r="L8" s="20" t="s">
        <v>64</v>
      </c>
    </row>
    <row r="9" ht="22" customHeight="1" spans="1:12" x14ac:dyDescent="0.25">
      <c r="A9" s="22" t="s">
        <v>87</v>
      </c>
      <c r="B9" s="23" t="s">
        <v>59</v>
      </c>
      <c r="C9" s="23" t="s">
        <v>88</v>
      </c>
      <c r="D9" s="23" t="s">
        <v>89</v>
      </c>
      <c r="E9" s="23" t="s">
        <v>90</v>
      </c>
      <c r="F9" s="23" t="s">
        <v>91</v>
      </c>
      <c r="G9" s="23" t="s">
        <v>64</v>
      </c>
      <c r="H9" s="21" t="s">
        <v>33</v>
      </c>
      <c r="I9" s="12" t="s">
        <v>65</v>
      </c>
      <c r="J9" s="23" t="s">
        <v>64</v>
      </c>
      <c r="K9" s="23" t="s">
        <v>64</v>
      </c>
      <c r="L9" s="23" t="s">
        <v>64</v>
      </c>
    </row>
    <row r="10" ht="22" customHeight="1" spans="1:12" x14ac:dyDescent="0.25">
      <c r="A10" s="19" t="s">
        <v>92</v>
      </c>
      <c r="B10" s="20" t="s">
        <v>59</v>
      </c>
      <c r="C10" s="20" t="s">
        <v>93</v>
      </c>
      <c r="D10" s="20" t="s">
        <v>94</v>
      </c>
      <c r="E10" s="20" t="s">
        <v>95</v>
      </c>
      <c r="F10" s="20" t="s">
        <v>96</v>
      </c>
      <c r="G10" s="20" t="s">
        <v>64</v>
      </c>
      <c r="H10" s="21" t="s">
        <v>33</v>
      </c>
      <c r="I10" s="10" t="s">
        <v>65</v>
      </c>
      <c r="J10" s="20" t="s">
        <v>64</v>
      </c>
      <c r="K10" s="20" t="s">
        <v>64</v>
      </c>
      <c r="L10" s="20" t="s">
        <v>64</v>
      </c>
    </row>
    <row r="11" ht="22" customHeight="1" spans="1:12" x14ac:dyDescent="0.25">
      <c r="A11" s="22" t="s">
        <v>97</v>
      </c>
      <c r="B11" s="23" t="s">
        <v>59</v>
      </c>
      <c r="C11" s="23" t="s">
        <v>98</v>
      </c>
      <c r="D11" s="23" t="s">
        <v>99</v>
      </c>
      <c r="E11" s="23" t="s">
        <v>100</v>
      </c>
      <c r="F11" s="23" t="s">
        <v>101</v>
      </c>
      <c r="G11" s="23" t="s">
        <v>64</v>
      </c>
      <c r="H11" s="21" t="s">
        <v>33</v>
      </c>
      <c r="I11" s="12" t="s">
        <v>65</v>
      </c>
      <c r="J11" s="23" t="s">
        <v>64</v>
      </c>
      <c r="K11" s="23" t="s">
        <v>64</v>
      </c>
      <c r="L11" s="23" t="s">
        <v>64</v>
      </c>
    </row>
    <row r="12" ht="22" customHeight="1" spans="1:12" x14ac:dyDescent="0.25">
      <c r="A12" s="19" t="s">
        <v>102</v>
      </c>
      <c r="B12" s="20" t="s">
        <v>59</v>
      </c>
      <c r="C12" s="20" t="s">
        <v>103</v>
      </c>
      <c r="D12" s="20" t="s">
        <v>104</v>
      </c>
      <c r="E12" s="20" t="s">
        <v>105</v>
      </c>
      <c r="F12" s="20" t="s">
        <v>106</v>
      </c>
      <c r="G12" s="20" t="s">
        <v>64</v>
      </c>
      <c r="H12" s="21" t="s">
        <v>33</v>
      </c>
      <c r="I12" s="10" t="s">
        <v>65</v>
      </c>
      <c r="J12" s="20" t="s">
        <v>64</v>
      </c>
      <c r="K12" s="20" t="s">
        <v>64</v>
      </c>
      <c r="L12" s="20" t="s">
        <v>64</v>
      </c>
    </row>
    <row r="13" ht="22" customHeight="1" spans="1:12" x14ac:dyDescent="0.25">
      <c r="A13" s="22" t="s">
        <v>107</v>
      </c>
      <c r="B13" s="23" t="s">
        <v>59</v>
      </c>
      <c r="C13" s="23" t="s">
        <v>108</v>
      </c>
      <c r="D13" s="23" t="s">
        <v>109</v>
      </c>
      <c r="E13" s="23" t="s">
        <v>110</v>
      </c>
      <c r="F13" s="23" t="s">
        <v>111</v>
      </c>
      <c r="G13" s="23" t="s">
        <v>64</v>
      </c>
      <c r="H13" s="21" t="s">
        <v>33</v>
      </c>
      <c r="I13" s="12" t="s">
        <v>65</v>
      </c>
      <c r="J13" s="23" t="s">
        <v>64</v>
      </c>
      <c r="K13" s="23" t="s">
        <v>64</v>
      </c>
      <c r="L13" s="23" t="s">
        <v>64</v>
      </c>
    </row>
    <row r="14" ht="22" customHeight="1" spans="1:12" x14ac:dyDescent="0.25">
      <c r="A14" s="19" t="s">
        <v>112</v>
      </c>
      <c r="B14" s="20" t="s">
        <v>59</v>
      </c>
      <c r="C14" s="20" t="s">
        <v>113</v>
      </c>
      <c r="D14" s="20" t="s">
        <v>114</v>
      </c>
      <c r="E14" s="20" t="s">
        <v>115</v>
      </c>
      <c r="F14" s="20" t="s">
        <v>116</v>
      </c>
      <c r="G14" s="20" t="s">
        <v>64</v>
      </c>
      <c r="H14" s="21" t="s">
        <v>33</v>
      </c>
      <c r="I14" s="10" t="s">
        <v>65</v>
      </c>
      <c r="J14" s="20" t="s">
        <v>64</v>
      </c>
      <c r="K14" s="20" t="s">
        <v>64</v>
      </c>
      <c r="L14" s="20" t="s">
        <v>64</v>
      </c>
    </row>
    <row r="15" ht="22" customHeight="1" spans="1:12" x14ac:dyDescent="0.25">
      <c r="A15" s="22" t="s">
        <v>117</v>
      </c>
      <c r="B15" s="23" t="s">
        <v>118</v>
      </c>
      <c r="C15" s="23" t="s">
        <v>119</v>
      </c>
      <c r="D15" s="23" t="s">
        <v>120</v>
      </c>
      <c r="E15" s="23" t="s">
        <v>121</v>
      </c>
      <c r="F15" s="23" t="s">
        <v>122</v>
      </c>
      <c r="G15" s="23" t="s">
        <v>64</v>
      </c>
      <c r="H15" s="21" t="s">
        <v>33</v>
      </c>
      <c r="I15" s="12" t="s">
        <v>65</v>
      </c>
      <c r="J15" s="23" t="s">
        <v>64</v>
      </c>
      <c r="K15" s="23" t="s">
        <v>64</v>
      </c>
      <c r="L15" s="23" t="s">
        <v>64</v>
      </c>
    </row>
    <row r="16" ht="22" customHeight="1" spans="1:12" x14ac:dyDescent="0.25">
      <c r="A16" s="19" t="s">
        <v>123</v>
      </c>
      <c r="B16" s="20" t="s">
        <v>118</v>
      </c>
      <c r="C16" s="20" t="s">
        <v>124</v>
      </c>
      <c r="D16" s="20" t="s">
        <v>99</v>
      </c>
      <c r="E16" s="20" t="s">
        <v>125</v>
      </c>
      <c r="F16" s="20" t="s">
        <v>126</v>
      </c>
      <c r="G16" s="20" t="s">
        <v>64</v>
      </c>
      <c r="H16" s="21" t="s">
        <v>33</v>
      </c>
      <c r="I16" s="10" t="s">
        <v>65</v>
      </c>
      <c r="J16" s="20" t="s">
        <v>64</v>
      </c>
      <c r="K16" s="20" t="s">
        <v>64</v>
      </c>
      <c r="L16" s="20" t="s">
        <v>64</v>
      </c>
    </row>
    <row r="17" ht="22" customHeight="1" spans="1:12" x14ac:dyDescent="0.25">
      <c r="A17" s="22" t="s">
        <v>127</v>
      </c>
      <c r="B17" s="23" t="s">
        <v>118</v>
      </c>
      <c r="C17" s="23" t="s">
        <v>128</v>
      </c>
      <c r="D17" s="23" t="s">
        <v>99</v>
      </c>
      <c r="E17" s="23" t="s">
        <v>129</v>
      </c>
      <c r="F17" s="23" t="s">
        <v>130</v>
      </c>
      <c r="G17" s="23" t="s">
        <v>64</v>
      </c>
      <c r="H17" s="21" t="s">
        <v>33</v>
      </c>
      <c r="I17" s="12" t="s">
        <v>65</v>
      </c>
      <c r="J17" s="23" t="s">
        <v>64</v>
      </c>
      <c r="K17" s="23" t="s">
        <v>64</v>
      </c>
      <c r="L17" s="23" t="s">
        <v>64</v>
      </c>
    </row>
    <row r="18" ht="22" customHeight="1" spans="1:12" x14ac:dyDescent="0.25">
      <c r="A18" s="19" t="s">
        <v>131</v>
      </c>
      <c r="B18" s="20" t="s">
        <v>118</v>
      </c>
      <c r="C18" s="20" t="s">
        <v>132</v>
      </c>
      <c r="D18" s="20" t="s">
        <v>99</v>
      </c>
      <c r="E18" s="20" t="s">
        <v>133</v>
      </c>
      <c r="F18" s="20" t="s">
        <v>134</v>
      </c>
      <c r="G18" s="20" t="s">
        <v>64</v>
      </c>
      <c r="H18" s="21" t="s">
        <v>33</v>
      </c>
      <c r="I18" s="10" t="s">
        <v>65</v>
      </c>
      <c r="J18" s="20" t="s">
        <v>64</v>
      </c>
      <c r="K18" s="20" t="s">
        <v>64</v>
      </c>
      <c r="L18" s="20" t="s">
        <v>64</v>
      </c>
    </row>
    <row r="19" ht="22" customHeight="1" spans="1:12" x14ac:dyDescent="0.25">
      <c r="A19" s="22" t="s">
        <v>135</v>
      </c>
      <c r="B19" s="23" t="s">
        <v>118</v>
      </c>
      <c r="C19" s="23" t="s">
        <v>136</v>
      </c>
      <c r="D19" s="23" t="s">
        <v>99</v>
      </c>
      <c r="E19" s="23" t="s">
        <v>137</v>
      </c>
      <c r="F19" s="23" t="s">
        <v>138</v>
      </c>
      <c r="G19" s="23" t="s">
        <v>64</v>
      </c>
      <c r="H19" s="21" t="s">
        <v>33</v>
      </c>
      <c r="I19" s="12" t="s">
        <v>76</v>
      </c>
      <c r="J19" s="23" t="s">
        <v>64</v>
      </c>
      <c r="K19" s="23" t="s">
        <v>64</v>
      </c>
      <c r="L19" s="23" t="s">
        <v>64</v>
      </c>
    </row>
    <row r="20" ht="22" customHeight="1" spans="1:12" x14ac:dyDescent="0.25">
      <c r="A20" s="19" t="s">
        <v>139</v>
      </c>
      <c r="B20" s="20" t="s">
        <v>118</v>
      </c>
      <c r="C20" s="20" t="s">
        <v>140</v>
      </c>
      <c r="D20" s="20" t="s">
        <v>99</v>
      </c>
      <c r="E20" s="20" t="s">
        <v>141</v>
      </c>
      <c r="F20" s="20" t="s">
        <v>142</v>
      </c>
      <c r="G20" s="20" t="s">
        <v>64</v>
      </c>
      <c r="H20" s="21" t="s">
        <v>33</v>
      </c>
      <c r="I20" s="10" t="s">
        <v>65</v>
      </c>
      <c r="J20" s="20" t="s">
        <v>64</v>
      </c>
      <c r="K20" s="20" t="s">
        <v>64</v>
      </c>
      <c r="L20" s="20" t="s">
        <v>64</v>
      </c>
    </row>
    <row r="21" ht="22" customHeight="1" spans="1:12" x14ac:dyDescent="0.25">
      <c r="A21" s="22" t="s">
        <v>143</v>
      </c>
      <c r="B21" s="23" t="s">
        <v>144</v>
      </c>
      <c r="C21" s="23" t="s">
        <v>145</v>
      </c>
      <c r="D21" s="23" t="s">
        <v>61</v>
      </c>
      <c r="E21" s="23" t="s">
        <v>146</v>
      </c>
      <c r="F21" s="23" t="s">
        <v>147</v>
      </c>
      <c r="G21" s="23" t="s">
        <v>64</v>
      </c>
      <c r="H21" s="21" t="s">
        <v>33</v>
      </c>
      <c r="I21" s="12" t="s">
        <v>65</v>
      </c>
      <c r="J21" s="23" t="s">
        <v>64</v>
      </c>
      <c r="K21" s="23" t="s">
        <v>64</v>
      </c>
      <c r="L21" s="23" t="s">
        <v>64</v>
      </c>
    </row>
    <row r="22" ht="22" customHeight="1" spans="1:12" x14ac:dyDescent="0.25">
      <c r="A22" s="19" t="s">
        <v>148</v>
      </c>
      <c r="B22" s="20" t="s">
        <v>144</v>
      </c>
      <c r="C22" s="20" t="s">
        <v>149</v>
      </c>
      <c r="D22" s="20" t="s">
        <v>61</v>
      </c>
      <c r="E22" s="20" t="s">
        <v>150</v>
      </c>
      <c r="F22" s="20" t="s">
        <v>151</v>
      </c>
      <c r="G22" s="20" t="s">
        <v>64</v>
      </c>
      <c r="H22" s="21" t="s">
        <v>33</v>
      </c>
      <c r="I22" s="10" t="s">
        <v>65</v>
      </c>
      <c r="J22" s="20" t="s">
        <v>64</v>
      </c>
      <c r="K22" s="20" t="s">
        <v>64</v>
      </c>
      <c r="L22" s="20" t="s">
        <v>64</v>
      </c>
    </row>
    <row r="23" ht="22" customHeight="1" spans="1:12" x14ac:dyDescent="0.25">
      <c r="A23" s="22" t="s">
        <v>152</v>
      </c>
      <c r="B23" s="23" t="s">
        <v>153</v>
      </c>
      <c r="C23" s="23" t="s">
        <v>154</v>
      </c>
      <c r="D23" s="23" t="s">
        <v>155</v>
      </c>
      <c r="E23" s="23" t="s">
        <v>156</v>
      </c>
      <c r="F23" s="23" t="s">
        <v>157</v>
      </c>
      <c r="G23" s="23" t="s">
        <v>64</v>
      </c>
      <c r="H23" s="21" t="s">
        <v>33</v>
      </c>
      <c r="I23" s="12" t="s">
        <v>65</v>
      </c>
      <c r="J23" s="23" t="s">
        <v>64</v>
      </c>
      <c r="K23" s="23" t="s">
        <v>64</v>
      </c>
      <c r="L23" s="23" t="s">
        <v>64</v>
      </c>
    </row>
    <row r="24" ht="22" customHeight="1" spans="1:12" x14ac:dyDescent="0.25">
      <c r="A24" s="19" t="s">
        <v>158</v>
      </c>
      <c r="B24" s="20" t="s">
        <v>159</v>
      </c>
      <c r="C24" s="20" t="s">
        <v>160</v>
      </c>
      <c r="D24" s="20" t="s">
        <v>161</v>
      </c>
      <c r="E24" s="20" t="s">
        <v>162</v>
      </c>
      <c r="F24" s="20" t="s">
        <v>163</v>
      </c>
      <c r="G24" s="20" t="s">
        <v>64</v>
      </c>
      <c r="H24" s="21" t="s">
        <v>33</v>
      </c>
      <c r="I24" s="10" t="s">
        <v>65</v>
      </c>
      <c r="J24" s="20" t="s">
        <v>64</v>
      </c>
      <c r="K24" s="20" t="s">
        <v>64</v>
      </c>
      <c r="L24" s="20" t="s">
        <v>64</v>
      </c>
    </row>
    <row r="25" ht="22" customHeight="1" spans="1:12" x14ac:dyDescent="0.25">
      <c r="A25" s="22" t="s">
        <v>164</v>
      </c>
      <c r="B25" s="23" t="s">
        <v>159</v>
      </c>
      <c r="C25" s="23" t="s">
        <v>165</v>
      </c>
      <c r="D25" s="23" t="s">
        <v>166</v>
      </c>
      <c r="E25" s="23" t="s">
        <v>167</v>
      </c>
      <c r="F25" s="23" t="s">
        <v>168</v>
      </c>
      <c r="G25" s="23" t="s">
        <v>64</v>
      </c>
      <c r="H25" s="21" t="s">
        <v>33</v>
      </c>
      <c r="I25" s="12" t="s">
        <v>65</v>
      </c>
      <c r="J25" s="23" t="s">
        <v>64</v>
      </c>
      <c r="K25" s="23" t="s">
        <v>64</v>
      </c>
      <c r="L25" s="23" t="s">
        <v>64</v>
      </c>
    </row>
    <row r="26" ht="22" customHeight="1" spans="1:12" x14ac:dyDescent="0.25">
      <c r="A26" s="19" t="s">
        <v>169</v>
      </c>
      <c r="B26" s="20" t="s">
        <v>170</v>
      </c>
      <c r="C26" s="20" t="s">
        <v>171</v>
      </c>
      <c r="D26" s="20" t="s">
        <v>172</v>
      </c>
      <c r="E26" s="20" t="s">
        <v>173</v>
      </c>
      <c r="F26" s="20" t="s">
        <v>174</v>
      </c>
      <c r="G26" s="20" t="s">
        <v>64</v>
      </c>
      <c r="H26" s="21" t="s">
        <v>33</v>
      </c>
      <c r="I26" s="10" t="s">
        <v>76</v>
      </c>
      <c r="J26" s="20" t="s">
        <v>64</v>
      </c>
      <c r="K26" s="20" t="s">
        <v>64</v>
      </c>
      <c r="L26" s="20" t="s">
        <v>64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2" customWidth="1"/>
    <col min="5" max="5" width="44" customWidth="1"/>
    <col min="6" max="6" width="42" customWidth="1"/>
    <col min="7" max="7" width="4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</cols>
  <sheetData>
    <row r="1" ht="30" customHeight="1" spans="1:12" x14ac:dyDescent="0.25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176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7" t="s">
        <v>46</v>
      </c>
      <c r="B3" s="17" t="s">
        <v>47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8" t="s">
        <v>53</v>
      </c>
      <c r="I3" s="18" t="s">
        <v>54</v>
      </c>
      <c r="J3" s="17" t="s">
        <v>55</v>
      </c>
      <c r="K3" s="17" t="s">
        <v>56</v>
      </c>
      <c r="L3" s="17" t="s">
        <v>57</v>
      </c>
    </row>
    <row r="4" ht="22" customHeight="1" spans="1:12" x14ac:dyDescent="0.25">
      <c r="A4" s="19" t="s">
        <v>177</v>
      </c>
      <c r="B4" s="20" t="s">
        <v>178</v>
      </c>
      <c r="C4" s="20" t="s">
        <v>179</v>
      </c>
      <c r="D4" s="20" t="s">
        <v>180</v>
      </c>
      <c r="E4" s="20" t="s">
        <v>181</v>
      </c>
      <c r="F4" s="20" t="s">
        <v>182</v>
      </c>
      <c r="G4" s="20" t="s">
        <v>183</v>
      </c>
      <c r="H4" s="24" t="s">
        <v>32</v>
      </c>
      <c r="I4" s="10" t="s">
        <v>65</v>
      </c>
      <c r="J4" s="20" t="s">
        <v>64</v>
      </c>
      <c r="K4" s="20" t="s">
        <v>184</v>
      </c>
      <c r="L4" s="20" t="s">
        <v>185</v>
      </c>
    </row>
    <row r="5" ht="22" customHeight="1" spans="1:12" x14ac:dyDescent="0.25">
      <c r="A5" s="22" t="s">
        <v>186</v>
      </c>
      <c r="B5" s="23" t="s">
        <v>59</v>
      </c>
      <c r="C5" s="23" t="s">
        <v>187</v>
      </c>
      <c r="D5" s="23" t="s">
        <v>188</v>
      </c>
      <c r="E5" s="23" t="s">
        <v>189</v>
      </c>
      <c r="F5" s="23" t="s">
        <v>190</v>
      </c>
      <c r="G5" s="23" t="s">
        <v>191</v>
      </c>
      <c r="H5" s="24" t="s">
        <v>32</v>
      </c>
      <c r="I5" s="12" t="s">
        <v>65</v>
      </c>
      <c r="J5" s="23" t="s">
        <v>64</v>
      </c>
      <c r="K5" s="23" t="s">
        <v>184</v>
      </c>
      <c r="L5" s="23" t="s">
        <v>185</v>
      </c>
    </row>
    <row r="6" ht="22" customHeight="1" spans="1:12" x14ac:dyDescent="0.25">
      <c r="A6" s="19" t="s">
        <v>192</v>
      </c>
      <c r="B6" s="20" t="s">
        <v>59</v>
      </c>
      <c r="C6" s="20" t="s">
        <v>193</v>
      </c>
      <c r="D6" s="20" t="s">
        <v>194</v>
      </c>
      <c r="E6" s="20" t="s">
        <v>195</v>
      </c>
      <c r="F6" s="20" t="s">
        <v>196</v>
      </c>
      <c r="G6" s="20" t="s">
        <v>191</v>
      </c>
      <c r="H6" s="24" t="s">
        <v>32</v>
      </c>
      <c r="I6" s="10" t="s">
        <v>65</v>
      </c>
      <c r="J6" s="20" t="s">
        <v>64</v>
      </c>
      <c r="K6" s="20" t="s">
        <v>184</v>
      </c>
      <c r="L6" s="20" t="s">
        <v>185</v>
      </c>
    </row>
    <row r="7" ht="22" customHeight="1" spans="1:12" x14ac:dyDescent="0.25">
      <c r="A7" s="22" t="s">
        <v>197</v>
      </c>
      <c r="B7" s="23" t="s">
        <v>59</v>
      </c>
      <c r="C7" s="23" t="s">
        <v>198</v>
      </c>
      <c r="D7" s="23" t="s">
        <v>199</v>
      </c>
      <c r="E7" s="23" t="s">
        <v>200</v>
      </c>
      <c r="F7" s="23" t="s">
        <v>201</v>
      </c>
      <c r="G7" s="23" t="s">
        <v>191</v>
      </c>
      <c r="H7" s="24" t="s">
        <v>32</v>
      </c>
      <c r="I7" s="12" t="s">
        <v>65</v>
      </c>
      <c r="J7" s="23" t="s">
        <v>64</v>
      </c>
      <c r="K7" s="23" t="s">
        <v>184</v>
      </c>
      <c r="L7" s="23" t="s">
        <v>185</v>
      </c>
    </row>
    <row r="8" ht="22" customHeight="1" spans="1:12" x14ac:dyDescent="0.25">
      <c r="A8" s="19" t="s">
        <v>202</v>
      </c>
      <c r="B8" s="20" t="s">
        <v>59</v>
      </c>
      <c r="C8" s="20" t="s">
        <v>203</v>
      </c>
      <c r="D8" s="20" t="s">
        <v>204</v>
      </c>
      <c r="E8" s="20" t="s">
        <v>205</v>
      </c>
      <c r="F8" s="20" t="s">
        <v>206</v>
      </c>
      <c r="G8" s="20" t="s">
        <v>191</v>
      </c>
      <c r="H8" s="24" t="s">
        <v>32</v>
      </c>
      <c r="I8" s="10" t="s">
        <v>65</v>
      </c>
      <c r="J8" s="20" t="s">
        <v>64</v>
      </c>
      <c r="K8" s="20" t="s">
        <v>184</v>
      </c>
      <c r="L8" s="20" t="s">
        <v>185</v>
      </c>
    </row>
    <row r="9" ht="22" customHeight="1" spans="1:12" x14ac:dyDescent="0.25">
      <c r="A9" s="22" t="s">
        <v>207</v>
      </c>
      <c r="B9" s="23" t="s">
        <v>208</v>
      </c>
      <c r="C9" s="23" t="s">
        <v>209</v>
      </c>
      <c r="D9" s="23" t="s">
        <v>210</v>
      </c>
      <c r="E9" s="23" t="s">
        <v>211</v>
      </c>
      <c r="F9" s="23" t="s">
        <v>212</v>
      </c>
      <c r="G9" s="23" t="s">
        <v>191</v>
      </c>
      <c r="H9" s="24" t="s">
        <v>32</v>
      </c>
      <c r="I9" s="12" t="s">
        <v>65</v>
      </c>
      <c r="J9" s="23" t="s">
        <v>64</v>
      </c>
      <c r="K9" s="23" t="s">
        <v>184</v>
      </c>
      <c r="L9" s="23" t="s">
        <v>185</v>
      </c>
    </row>
    <row r="10" ht="22" customHeight="1" spans="1:12" x14ac:dyDescent="0.25">
      <c r="A10" s="19" t="s">
        <v>213</v>
      </c>
      <c r="B10" s="20" t="s">
        <v>208</v>
      </c>
      <c r="C10" s="20" t="s">
        <v>214</v>
      </c>
      <c r="D10" s="20" t="s">
        <v>215</v>
      </c>
      <c r="E10" s="20" t="s">
        <v>216</v>
      </c>
      <c r="F10" s="20" t="s">
        <v>217</v>
      </c>
      <c r="G10" s="20" t="s">
        <v>191</v>
      </c>
      <c r="H10" s="24" t="s">
        <v>32</v>
      </c>
      <c r="I10" s="10" t="s">
        <v>65</v>
      </c>
      <c r="J10" s="20" t="s">
        <v>64</v>
      </c>
      <c r="K10" s="20" t="s">
        <v>184</v>
      </c>
      <c r="L10" s="20" t="s">
        <v>185</v>
      </c>
    </row>
    <row r="11" ht="22" customHeight="1" spans="1:12" x14ac:dyDescent="0.25">
      <c r="A11" s="22" t="s">
        <v>218</v>
      </c>
      <c r="B11" s="23" t="s">
        <v>208</v>
      </c>
      <c r="C11" s="23" t="s">
        <v>219</v>
      </c>
      <c r="D11" s="23" t="s">
        <v>220</v>
      </c>
      <c r="E11" s="23" t="s">
        <v>221</v>
      </c>
      <c r="F11" s="23" t="s">
        <v>222</v>
      </c>
      <c r="G11" s="23" t="s">
        <v>191</v>
      </c>
      <c r="H11" s="24" t="s">
        <v>32</v>
      </c>
      <c r="I11" s="12" t="s">
        <v>65</v>
      </c>
      <c r="J11" s="23" t="s">
        <v>64</v>
      </c>
      <c r="K11" s="23" t="s">
        <v>184</v>
      </c>
      <c r="L11" s="23" t="s">
        <v>185</v>
      </c>
    </row>
    <row r="12" ht="22" customHeight="1" spans="1:12" x14ac:dyDescent="0.25">
      <c r="A12" s="19" t="s">
        <v>223</v>
      </c>
      <c r="B12" s="20" t="s">
        <v>208</v>
      </c>
      <c r="C12" s="20" t="s">
        <v>224</v>
      </c>
      <c r="D12" s="20" t="s">
        <v>225</v>
      </c>
      <c r="E12" s="20" t="s">
        <v>226</v>
      </c>
      <c r="F12" s="20" t="s">
        <v>227</v>
      </c>
      <c r="G12" s="20" t="s">
        <v>191</v>
      </c>
      <c r="H12" s="24" t="s">
        <v>32</v>
      </c>
      <c r="I12" s="10" t="s">
        <v>65</v>
      </c>
      <c r="J12" s="20" t="s">
        <v>64</v>
      </c>
      <c r="K12" s="20" t="s">
        <v>184</v>
      </c>
      <c r="L12" s="20" t="s">
        <v>185</v>
      </c>
    </row>
    <row r="13" ht="22" customHeight="1" spans="1:12" x14ac:dyDescent="0.25">
      <c r="A13" s="22" t="s">
        <v>228</v>
      </c>
      <c r="B13" s="23" t="s">
        <v>153</v>
      </c>
      <c r="C13" s="23" t="s">
        <v>229</v>
      </c>
      <c r="D13" s="23" t="s">
        <v>230</v>
      </c>
      <c r="E13" s="23" t="s">
        <v>231</v>
      </c>
      <c r="F13" s="23" t="s">
        <v>232</v>
      </c>
      <c r="G13" s="23" t="s">
        <v>191</v>
      </c>
      <c r="H13" s="24" t="s">
        <v>32</v>
      </c>
      <c r="I13" s="12" t="s">
        <v>65</v>
      </c>
      <c r="J13" s="23" t="s">
        <v>64</v>
      </c>
      <c r="K13" s="23" t="s">
        <v>184</v>
      </c>
      <c r="L13" s="23" t="s">
        <v>185</v>
      </c>
    </row>
    <row r="14" ht="22" customHeight="1" spans="1:12" x14ac:dyDescent="0.25">
      <c r="A14" s="19" t="s">
        <v>233</v>
      </c>
      <c r="B14" s="20" t="s">
        <v>159</v>
      </c>
      <c r="C14" s="20" t="s">
        <v>234</v>
      </c>
      <c r="D14" s="20" t="s">
        <v>235</v>
      </c>
      <c r="E14" s="20" t="s">
        <v>236</v>
      </c>
      <c r="F14" s="20" t="s">
        <v>237</v>
      </c>
      <c r="G14" s="20" t="s">
        <v>191</v>
      </c>
      <c r="H14" s="24" t="s">
        <v>32</v>
      </c>
      <c r="I14" s="10" t="s">
        <v>65</v>
      </c>
      <c r="J14" s="20" t="s">
        <v>64</v>
      </c>
      <c r="K14" s="20" t="s">
        <v>184</v>
      </c>
      <c r="L14" s="20" t="s">
        <v>185</v>
      </c>
    </row>
    <row r="15" ht="22" customHeight="1" spans="1:12" x14ac:dyDescent="0.25">
      <c r="A15" s="22" t="s">
        <v>238</v>
      </c>
      <c r="B15" s="23" t="s">
        <v>159</v>
      </c>
      <c r="C15" s="23" t="s">
        <v>239</v>
      </c>
      <c r="D15" s="23" t="s">
        <v>240</v>
      </c>
      <c r="E15" s="23" t="s">
        <v>241</v>
      </c>
      <c r="F15" s="23" t="s">
        <v>242</v>
      </c>
      <c r="G15" s="23" t="s">
        <v>191</v>
      </c>
      <c r="H15" s="24" t="s">
        <v>32</v>
      </c>
      <c r="I15" s="12" t="s">
        <v>65</v>
      </c>
      <c r="J15" s="23" t="s">
        <v>64</v>
      </c>
      <c r="K15" s="23" t="s">
        <v>184</v>
      </c>
      <c r="L15" s="23" t="s">
        <v>185</v>
      </c>
    </row>
    <row r="16" ht="22" customHeight="1" spans="1:12" x14ac:dyDescent="0.25">
      <c r="A16" s="19" t="s">
        <v>243</v>
      </c>
      <c r="B16" s="20" t="s">
        <v>244</v>
      </c>
      <c r="C16" s="20" t="s">
        <v>245</v>
      </c>
      <c r="D16" s="20" t="s">
        <v>246</v>
      </c>
      <c r="E16" s="20" t="s">
        <v>247</v>
      </c>
      <c r="F16" s="20" t="s">
        <v>248</v>
      </c>
      <c r="G16" s="20" t="s">
        <v>191</v>
      </c>
      <c r="H16" s="24" t="s">
        <v>32</v>
      </c>
      <c r="I16" s="10" t="s">
        <v>65</v>
      </c>
      <c r="J16" s="20" t="s">
        <v>64</v>
      </c>
      <c r="K16" s="20" t="s">
        <v>184</v>
      </c>
      <c r="L16" s="20" t="s">
        <v>185</v>
      </c>
    </row>
    <row r="17" ht="22" customHeight="1" spans="1:12" x14ac:dyDescent="0.25">
      <c r="A17" s="22" t="s">
        <v>249</v>
      </c>
      <c r="B17" s="23" t="s">
        <v>250</v>
      </c>
      <c r="C17" s="23" t="s">
        <v>251</v>
      </c>
      <c r="D17" s="23" t="s">
        <v>252</v>
      </c>
      <c r="E17" s="23" t="s">
        <v>253</v>
      </c>
      <c r="F17" s="23" t="s">
        <v>254</v>
      </c>
      <c r="G17" s="23" t="s">
        <v>191</v>
      </c>
      <c r="H17" s="24" t="s">
        <v>32</v>
      </c>
      <c r="I17" s="12" t="s">
        <v>65</v>
      </c>
      <c r="J17" s="23" t="s">
        <v>64</v>
      </c>
      <c r="K17" s="23" t="s">
        <v>184</v>
      </c>
      <c r="L17" s="23" t="s">
        <v>185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2" customWidth="1"/>
    <col min="5" max="5" width="44" customWidth="1"/>
    <col min="6" max="6" width="42" customWidth="1"/>
    <col min="7" max="7" width="4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</cols>
  <sheetData>
    <row r="1" ht="30" customHeight="1" spans="1:12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256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7" t="s">
        <v>46</v>
      </c>
      <c r="B3" s="17" t="s">
        <v>47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8" t="s">
        <v>53</v>
      </c>
      <c r="I3" s="18" t="s">
        <v>54</v>
      </c>
      <c r="J3" s="17" t="s">
        <v>55</v>
      </c>
      <c r="K3" s="17" t="s">
        <v>56</v>
      </c>
      <c r="L3" s="17" t="s">
        <v>57</v>
      </c>
    </row>
    <row r="4" ht="22" customHeight="1" spans="1:12" x14ac:dyDescent="0.25">
      <c r="A4" s="19" t="s">
        <v>257</v>
      </c>
      <c r="B4" s="20" t="s">
        <v>258</v>
      </c>
      <c r="C4" s="20" t="s">
        <v>259</v>
      </c>
      <c r="D4" s="20" t="s">
        <v>260</v>
      </c>
      <c r="E4" s="20" t="s">
        <v>261</v>
      </c>
      <c r="F4" s="20" t="s">
        <v>262</v>
      </c>
      <c r="G4" s="20" t="s">
        <v>263</v>
      </c>
      <c r="H4" s="25" t="s">
        <v>30</v>
      </c>
      <c r="I4" s="10" t="s">
        <v>65</v>
      </c>
      <c r="J4" s="20" t="s">
        <v>64</v>
      </c>
      <c r="K4" s="20" t="s">
        <v>264</v>
      </c>
      <c r="L4" s="20" t="s">
        <v>185</v>
      </c>
    </row>
    <row r="5" ht="22" customHeight="1" spans="1:12" x14ac:dyDescent="0.25">
      <c r="A5" s="22" t="s">
        <v>265</v>
      </c>
      <c r="B5" s="23" t="s">
        <v>266</v>
      </c>
      <c r="C5" s="23" t="s">
        <v>267</v>
      </c>
      <c r="D5" s="23" t="s">
        <v>268</v>
      </c>
      <c r="E5" s="23" t="s">
        <v>269</v>
      </c>
      <c r="F5" s="23" t="s">
        <v>270</v>
      </c>
      <c r="G5" s="23" t="s">
        <v>271</v>
      </c>
      <c r="H5" s="25" t="s">
        <v>30</v>
      </c>
      <c r="I5" s="12" t="s">
        <v>65</v>
      </c>
      <c r="J5" s="23" t="s">
        <v>64</v>
      </c>
      <c r="K5" s="23" t="s">
        <v>264</v>
      </c>
      <c r="L5" s="23" t="s">
        <v>185</v>
      </c>
    </row>
    <row r="6" ht="22" customHeight="1" spans="1:12" x14ac:dyDescent="0.25">
      <c r="A6" s="19" t="s">
        <v>272</v>
      </c>
      <c r="B6" s="20" t="s">
        <v>273</v>
      </c>
      <c r="C6" s="20" t="s">
        <v>274</v>
      </c>
      <c r="D6" s="20" t="s">
        <v>275</v>
      </c>
      <c r="E6" s="20" t="s">
        <v>276</v>
      </c>
      <c r="F6" s="20" t="s">
        <v>277</v>
      </c>
      <c r="G6" s="20" t="s">
        <v>278</v>
      </c>
      <c r="H6" s="25" t="s">
        <v>30</v>
      </c>
      <c r="I6" s="10" t="s">
        <v>65</v>
      </c>
      <c r="J6" s="20" t="s">
        <v>64</v>
      </c>
      <c r="K6" s="20" t="s">
        <v>264</v>
      </c>
      <c r="L6" s="20" t="s">
        <v>185</v>
      </c>
    </row>
    <row r="7" ht="22" customHeight="1" spans="1:12" x14ac:dyDescent="0.25">
      <c r="A7" s="22" t="s">
        <v>279</v>
      </c>
      <c r="B7" s="23" t="s">
        <v>280</v>
      </c>
      <c r="C7" s="23" t="s">
        <v>281</v>
      </c>
      <c r="D7" s="23" t="s">
        <v>282</v>
      </c>
      <c r="E7" s="23" t="s">
        <v>283</v>
      </c>
      <c r="F7" s="23" t="s">
        <v>284</v>
      </c>
      <c r="G7" s="23" t="s">
        <v>285</v>
      </c>
      <c r="H7" s="25" t="s">
        <v>30</v>
      </c>
      <c r="I7" s="12" t="s">
        <v>65</v>
      </c>
      <c r="J7" s="23" t="s">
        <v>64</v>
      </c>
      <c r="K7" s="23" t="s">
        <v>264</v>
      </c>
      <c r="L7" s="23" t="s">
        <v>185</v>
      </c>
    </row>
    <row r="8" ht="22" customHeight="1" spans="1:12" x14ac:dyDescent="0.25">
      <c r="A8" s="19" t="s">
        <v>286</v>
      </c>
      <c r="B8" s="20" t="s">
        <v>287</v>
      </c>
      <c r="C8" s="20" t="s">
        <v>288</v>
      </c>
      <c r="D8" s="20" t="s">
        <v>289</v>
      </c>
      <c r="E8" s="20" t="s">
        <v>290</v>
      </c>
      <c r="F8" s="20" t="s">
        <v>291</v>
      </c>
      <c r="G8" s="20" t="s">
        <v>292</v>
      </c>
      <c r="H8" s="25" t="s">
        <v>30</v>
      </c>
      <c r="I8" s="10" t="s">
        <v>65</v>
      </c>
      <c r="J8" s="20" t="s">
        <v>64</v>
      </c>
      <c r="K8" s="20" t="s">
        <v>264</v>
      </c>
      <c r="L8" s="20" t="s">
        <v>185</v>
      </c>
    </row>
    <row r="9" ht="22" customHeight="1" spans="1:12" x14ac:dyDescent="0.25">
      <c r="A9" s="22" t="s">
        <v>293</v>
      </c>
      <c r="B9" s="23" t="s">
        <v>159</v>
      </c>
      <c r="C9" s="23" t="s">
        <v>294</v>
      </c>
      <c r="D9" s="23" t="s">
        <v>295</v>
      </c>
      <c r="E9" s="23" t="s">
        <v>296</v>
      </c>
      <c r="F9" s="23" t="s">
        <v>297</v>
      </c>
      <c r="G9" s="23" t="s">
        <v>298</v>
      </c>
      <c r="H9" s="25" t="s">
        <v>30</v>
      </c>
      <c r="I9" s="12" t="s">
        <v>65</v>
      </c>
      <c r="J9" s="23" t="s">
        <v>64</v>
      </c>
      <c r="K9" s="23" t="s">
        <v>264</v>
      </c>
      <c r="L9" s="23" t="s">
        <v>185</v>
      </c>
    </row>
    <row r="10" ht="22" customHeight="1" spans="1:12" x14ac:dyDescent="0.25">
      <c r="A10" s="19" t="s">
        <v>299</v>
      </c>
      <c r="B10" s="20" t="s">
        <v>300</v>
      </c>
      <c r="C10" s="20" t="s">
        <v>301</v>
      </c>
      <c r="D10" s="20" t="s">
        <v>302</v>
      </c>
      <c r="E10" s="20" t="s">
        <v>303</v>
      </c>
      <c r="F10" s="20" t="s">
        <v>304</v>
      </c>
      <c r="G10" s="20" t="s">
        <v>305</v>
      </c>
      <c r="H10" s="25" t="s">
        <v>30</v>
      </c>
      <c r="I10" s="10" t="s">
        <v>65</v>
      </c>
      <c r="J10" s="20" t="s">
        <v>64</v>
      </c>
      <c r="K10" s="20" t="s">
        <v>264</v>
      </c>
      <c r="L10" s="20" t="s">
        <v>185</v>
      </c>
    </row>
    <row r="11" ht="22" customHeight="1" spans="1:12" x14ac:dyDescent="0.25">
      <c r="A11" s="22" t="s">
        <v>306</v>
      </c>
      <c r="B11" s="23" t="s">
        <v>41</v>
      </c>
      <c r="C11" s="23" t="s">
        <v>307</v>
      </c>
      <c r="D11" s="23" t="s">
        <v>308</v>
      </c>
      <c r="E11" s="23" t="s">
        <v>309</v>
      </c>
      <c r="F11" s="23" t="s">
        <v>310</v>
      </c>
      <c r="G11" s="23" t="s">
        <v>311</v>
      </c>
      <c r="H11" s="25" t="s">
        <v>30</v>
      </c>
      <c r="I11" s="12" t="s">
        <v>65</v>
      </c>
      <c r="J11" s="23" t="s">
        <v>64</v>
      </c>
      <c r="K11" s="23" t="s">
        <v>264</v>
      </c>
      <c r="L11" s="23" t="s">
        <v>185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2" customWidth="1"/>
    <col min="5" max="5" width="44" customWidth="1"/>
    <col min="6" max="6" width="42" customWidth="1"/>
    <col min="7" max="7" width="4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</cols>
  <sheetData>
    <row r="1" ht="30" customHeight="1" spans="1:12" x14ac:dyDescent="0.25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313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7" t="s">
        <v>46</v>
      </c>
      <c r="B3" s="17" t="s">
        <v>47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8" t="s">
        <v>53</v>
      </c>
      <c r="I3" s="18" t="s">
        <v>54</v>
      </c>
      <c r="J3" s="17" t="s">
        <v>55</v>
      </c>
      <c r="K3" s="17" t="s">
        <v>56</v>
      </c>
      <c r="L3" s="17" t="s">
        <v>57</v>
      </c>
    </row>
    <row r="4" ht="22" customHeight="1" spans="1:12" x14ac:dyDescent="0.25">
      <c r="A4" s="19" t="s">
        <v>314</v>
      </c>
      <c r="B4" s="20" t="s">
        <v>315</v>
      </c>
      <c r="C4" s="20" t="s">
        <v>316</v>
      </c>
      <c r="D4" s="20" t="s">
        <v>317</v>
      </c>
      <c r="E4" s="20" t="s">
        <v>318</v>
      </c>
      <c r="F4" s="20" t="s">
        <v>319</v>
      </c>
      <c r="G4" s="20" t="s">
        <v>320</v>
      </c>
      <c r="H4" s="25" t="s">
        <v>30</v>
      </c>
      <c r="I4" s="10" t="s">
        <v>65</v>
      </c>
      <c r="J4" s="20" t="s">
        <v>64</v>
      </c>
      <c r="K4" s="20" t="s">
        <v>264</v>
      </c>
      <c r="L4" s="20" t="s">
        <v>185</v>
      </c>
    </row>
    <row r="5" ht="22" customHeight="1" spans="1:12" x14ac:dyDescent="0.25">
      <c r="A5" s="22" t="s">
        <v>321</v>
      </c>
      <c r="B5" s="23" t="s">
        <v>322</v>
      </c>
      <c r="C5" s="23" t="s">
        <v>323</v>
      </c>
      <c r="D5" s="23" t="s">
        <v>324</v>
      </c>
      <c r="E5" s="23" t="s">
        <v>325</v>
      </c>
      <c r="F5" s="23" t="s">
        <v>326</v>
      </c>
      <c r="G5" s="23" t="s">
        <v>327</v>
      </c>
      <c r="H5" s="25" t="s">
        <v>30</v>
      </c>
      <c r="I5" s="12" t="s">
        <v>65</v>
      </c>
      <c r="J5" s="23" t="s">
        <v>64</v>
      </c>
      <c r="K5" s="23" t="s">
        <v>264</v>
      </c>
      <c r="L5" s="23" t="s">
        <v>185</v>
      </c>
    </row>
    <row r="6" ht="22" customHeight="1" spans="1:12" x14ac:dyDescent="0.25">
      <c r="A6" s="19" t="s">
        <v>328</v>
      </c>
      <c r="B6" s="20" t="s">
        <v>329</v>
      </c>
      <c r="C6" s="20" t="s">
        <v>330</v>
      </c>
      <c r="D6" s="20" t="s">
        <v>324</v>
      </c>
      <c r="E6" s="20" t="s">
        <v>331</v>
      </c>
      <c r="F6" s="20" t="s">
        <v>332</v>
      </c>
      <c r="G6" s="20" t="s">
        <v>333</v>
      </c>
      <c r="H6" s="25" t="s">
        <v>30</v>
      </c>
      <c r="I6" s="10" t="s">
        <v>65</v>
      </c>
      <c r="J6" s="20" t="s">
        <v>64</v>
      </c>
      <c r="K6" s="20" t="s">
        <v>264</v>
      </c>
      <c r="L6" s="20" t="s">
        <v>185</v>
      </c>
    </row>
    <row r="7" ht="22" customHeight="1" spans="1:12" x14ac:dyDescent="0.25">
      <c r="A7" s="22" t="s">
        <v>334</v>
      </c>
      <c r="B7" s="23" t="s">
        <v>335</v>
      </c>
      <c r="C7" s="23" t="s">
        <v>336</v>
      </c>
      <c r="D7" s="23" t="s">
        <v>337</v>
      </c>
      <c r="E7" s="23" t="s">
        <v>338</v>
      </c>
      <c r="F7" s="23" t="s">
        <v>339</v>
      </c>
      <c r="G7" s="23" t="s">
        <v>340</v>
      </c>
      <c r="H7" s="25" t="s">
        <v>30</v>
      </c>
      <c r="I7" s="12" t="s">
        <v>65</v>
      </c>
      <c r="J7" s="23" t="s">
        <v>64</v>
      </c>
      <c r="K7" s="23" t="s">
        <v>264</v>
      </c>
      <c r="L7" s="23" t="s">
        <v>185</v>
      </c>
    </row>
    <row r="8" ht="22" customHeight="1" spans="1:12" x14ac:dyDescent="0.25">
      <c r="A8" s="19" t="s">
        <v>341</v>
      </c>
      <c r="B8" s="20" t="s">
        <v>342</v>
      </c>
      <c r="C8" s="20" t="s">
        <v>343</v>
      </c>
      <c r="D8" s="20" t="s">
        <v>344</v>
      </c>
      <c r="E8" s="20" t="s">
        <v>345</v>
      </c>
      <c r="F8" s="20" t="s">
        <v>346</v>
      </c>
      <c r="G8" s="20" t="s">
        <v>347</v>
      </c>
      <c r="H8" s="25" t="s">
        <v>30</v>
      </c>
      <c r="I8" s="10" t="s">
        <v>65</v>
      </c>
      <c r="J8" s="20" t="s">
        <v>64</v>
      </c>
      <c r="K8" s="20" t="s">
        <v>264</v>
      </c>
      <c r="L8" s="20" t="s">
        <v>185</v>
      </c>
    </row>
    <row r="9" ht="22" customHeight="1" spans="1:12" x14ac:dyDescent="0.25">
      <c r="A9" s="22" t="s">
        <v>348</v>
      </c>
      <c r="B9" s="23" t="s">
        <v>349</v>
      </c>
      <c r="C9" s="23" t="s">
        <v>350</v>
      </c>
      <c r="D9" s="23" t="s">
        <v>351</v>
      </c>
      <c r="E9" s="23" t="s">
        <v>352</v>
      </c>
      <c r="F9" s="23" t="s">
        <v>353</v>
      </c>
      <c r="G9" s="23" t="s">
        <v>354</v>
      </c>
      <c r="H9" s="25" t="s">
        <v>30</v>
      </c>
      <c r="I9" s="12" t="s">
        <v>65</v>
      </c>
      <c r="J9" s="23" t="s">
        <v>64</v>
      </c>
      <c r="K9" s="23" t="s">
        <v>264</v>
      </c>
      <c r="L9" s="23" t="s">
        <v>185</v>
      </c>
    </row>
    <row r="10" ht="22" customHeight="1" spans="1:12" x14ac:dyDescent="0.25">
      <c r="A10" s="19" t="s">
        <v>355</v>
      </c>
      <c r="B10" s="20" t="s">
        <v>356</v>
      </c>
      <c r="C10" s="20" t="s">
        <v>357</v>
      </c>
      <c r="D10" s="20" t="s">
        <v>358</v>
      </c>
      <c r="E10" s="20" t="s">
        <v>359</v>
      </c>
      <c r="F10" s="20" t="s">
        <v>360</v>
      </c>
      <c r="G10" s="20" t="s">
        <v>361</v>
      </c>
      <c r="H10" s="25" t="s">
        <v>30</v>
      </c>
      <c r="I10" s="10" t="s">
        <v>65</v>
      </c>
      <c r="J10" s="20" t="s">
        <v>64</v>
      </c>
      <c r="K10" s="20" t="s">
        <v>264</v>
      </c>
      <c r="L10" s="20" t="s">
        <v>185</v>
      </c>
    </row>
    <row r="11" ht="22" customHeight="1" spans="1:12" x14ac:dyDescent="0.25">
      <c r="A11" s="22" t="s">
        <v>362</v>
      </c>
      <c r="B11" s="23" t="s">
        <v>363</v>
      </c>
      <c r="C11" s="23" t="s">
        <v>364</v>
      </c>
      <c r="D11" s="23" t="s">
        <v>99</v>
      </c>
      <c r="E11" s="23" t="s">
        <v>365</v>
      </c>
      <c r="F11" s="23" t="s">
        <v>366</v>
      </c>
      <c r="G11" s="23" t="s">
        <v>367</v>
      </c>
      <c r="H11" s="24" t="s">
        <v>32</v>
      </c>
      <c r="I11" s="12" t="s">
        <v>65</v>
      </c>
      <c r="J11" s="23" t="s">
        <v>64</v>
      </c>
      <c r="K11" s="23" t="s">
        <v>184</v>
      </c>
      <c r="L11" s="23" t="s">
        <v>185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2" customWidth="1"/>
    <col min="5" max="5" width="44" customWidth="1"/>
    <col min="6" max="6" width="42" customWidth="1"/>
    <col min="7" max="7" width="4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</cols>
  <sheetData>
    <row r="1" ht="30" customHeight="1" spans="1:12" x14ac:dyDescent="0.25">
      <c r="A1" s="1" t="s">
        <v>368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369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7" t="s">
        <v>46</v>
      </c>
      <c r="B3" s="17" t="s">
        <v>47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8" t="s">
        <v>53</v>
      </c>
      <c r="I3" s="18" t="s">
        <v>54</v>
      </c>
      <c r="J3" s="17" t="s">
        <v>55</v>
      </c>
      <c r="K3" s="17" t="s">
        <v>56</v>
      </c>
      <c r="L3" s="17" t="s">
        <v>57</v>
      </c>
    </row>
    <row r="4" ht="22" customHeight="1" spans="1:12" x14ac:dyDescent="0.25">
      <c r="A4" s="19" t="s">
        <v>370</v>
      </c>
      <c r="B4" s="20" t="s">
        <v>371</v>
      </c>
      <c r="C4" s="20" t="s">
        <v>372</v>
      </c>
      <c r="D4" s="20" t="s">
        <v>373</v>
      </c>
      <c r="E4" s="20" t="s">
        <v>374</v>
      </c>
      <c r="F4" s="20" t="s">
        <v>375</v>
      </c>
      <c r="G4" s="20" t="s">
        <v>376</v>
      </c>
      <c r="H4" s="25" t="s">
        <v>30</v>
      </c>
      <c r="I4" s="10" t="s">
        <v>65</v>
      </c>
      <c r="J4" s="20" t="s">
        <v>64</v>
      </c>
      <c r="K4" s="20" t="s">
        <v>377</v>
      </c>
      <c r="L4" s="20" t="s">
        <v>185</v>
      </c>
    </row>
    <row r="5" ht="22" customHeight="1" spans="1:12" x14ac:dyDescent="0.25">
      <c r="A5" s="22" t="s">
        <v>378</v>
      </c>
      <c r="B5" s="23" t="s">
        <v>379</v>
      </c>
      <c r="C5" s="23" t="s">
        <v>380</v>
      </c>
      <c r="D5" s="23" t="s">
        <v>381</v>
      </c>
      <c r="E5" s="23" t="s">
        <v>382</v>
      </c>
      <c r="F5" s="23" t="s">
        <v>383</v>
      </c>
      <c r="G5" s="23" t="s">
        <v>384</v>
      </c>
      <c r="H5" s="25" t="s">
        <v>30</v>
      </c>
      <c r="I5" s="12" t="s">
        <v>65</v>
      </c>
      <c r="J5" s="23" t="s">
        <v>64</v>
      </c>
      <c r="K5" s="23" t="s">
        <v>385</v>
      </c>
      <c r="L5" s="23" t="s">
        <v>185</v>
      </c>
    </row>
    <row r="6" ht="22" customHeight="1" spans="1:12" x14ac:dyDescent="0.25">
      <c r="A6" s="19" t="s">
        <v>386</v>
      </c>
      <c r="B6" s="20" t="s">
        <v>387</v>
      </c>
      <c r="C6" s="20" t="s">
        <v>388</v>
      </c>
      <c r="D6" s="20" t="s">
        <v>389</v>
      </c>
      <c r="E6" s="20" t="s">
        <v>390</v>
      </c>
      <c r="F6" s="20" t="s">
        <v>391</v>
      </c>
      <c r="G6" s="20" t="s">
        <v>392</v>
      </c>
      <c r="H6" s="25" t="s">
        <v>30</v>
      </c>
      <c r="I6" s="10" t="s">
        <v>65</v>
      </c>
      <c r="J6" s="20" t="s">
        <v>64</v>
      </c>
      <c r="K6" s="20" t="s">
        <v>385</v>
      </c>
      <c r="L6" s="20" t="s">
        <v>185</v>
      </c>
    </row>
    <row r="7" ht="22" customHeight="1" spans="1:12" x14ac:dyDescent="0.25">
      <c r="A7" s="22" t="s">
        <v>393</v>
      </c>
      <c r="B7" s="23" t="s">
        <v>394</v>
      </c>
      <c r="C7" s="23" t="s">
        <v>395</v>
      </c>
      <c r="D7" s="23" t="s">
        <v>396</v>
      </c>
      <c r="E7" s="23" t="s">
        <v>397</v>
      </c>
      <c r="F7" s="23" t="s">
        <v>398</v>
      </c>
      <c r="G7" s="23" t="s">
        <v>399</v>
      </c>
      <c r="H7" s="25" t="s">
        <v>30</v>
      </c>
      <c r="I7" s="12" t="s">
        <v>65</v>
      </c>
      <c r="J7" s="23" t="s">
        <v>64</v>
      </c>
      <c r="K7" s="23" t="s">
        <v>385</v>
      </c>
      <c r="L7" s="23" t="s">
        <v>185</v>
      </c>
    </row>
    <row r="8" ht="22" customHeight="1" spans="1:12" x14ac:dyDescent="0.25">
      <c r="A8" s="19" t="s">
        <v>400</v>
      </c>
      <c r="B8" s="20" t="s">
        <v>401</v>
      </c>
      <c r="C8" s="20" t="s">
        <v>402</v>
      </c>
      <c r="D8" s="20" t="s">
        <v>403</v>
      </c>
      <c r="E8" s="20" t="s">
        <v>404</v>
      </c>
      <c r="F8" s="20" t="s">
        <v>405</v>
      </c>
      <c r="G8" s="20" t="s">
        <v>406</v>
      </c>
      <c r="H8" s="25" t="s">
        <v>30</v>
      </c>
      <c r="I8" s="10" t="s">
        <v>65</v>
      </c>
      <c r="J8" s="20" t="s">
        <v>64</v>
      </c>
      <c r="K8" s="20" t="s">
        <v>385</v>
      </c>
      <c r="L8" s="20" t="s">
        <v>185</v>
      </c>
    </row>
    <row r="9" ht="22" customHeight="1" spans="1:12" x14ac:dyDescent="0.25">
      <c r="A9" s="22" t="s">
        <v>407</v>
      </c>
      <c r="B9" s="23" t="s">
        <v>408</v>
      </c>
      <c r="C9" s="23" t="s">
        <v>409</v>
      </c>
      <c r="D9" s="23" t="s">
        <v>410</v>
      </c>
      <c r="E9" s="23" t="s">
        <v>411</v>
      </c>
      <c r="F9" s="23" t="s">
        <v>412</v>
      </c>
      <c r="G9" s="23" t="s">
        <v>413</v>
      </c>
      <c r="H9" s="21" t="s">
        <v>33</v>
      </c>
      <c r="I9" s="12" t="s">
        <v>76</v>
      </c>
      <c r="J9" s="23" t="s">
        <v>64</v>
      </c>
      <c r="K9" s="23" t="s">
        <v>64</v>
      </c>
      <c r="L9" s="23" t="s">
        <v>64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2" customWidth="1"/>
    <col min="5" max="5" width="44" customWidth="1"/>
    <col min="6" max="6" width="42" customWidth="1"/>
    <col min="7" max="7" width="4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</cols>
  <sheetData>
    <row r="1" ht="30" customHeight="1" spans="1:12" x14ac:dyDescent="0.25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415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7" t="s">
        <v>46</v>
      </c>
      <c r="B3" s="17" t="s">
        <v>47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8" t="s">
        <v>53</v>
      </c>
      <c r="I3" s="18" t="s">
        <v>54</v>
      </c>
      <c r="J3" s="17" t="s">
        <v>55</v>
      </c>
      <c r="K3" s="17" t="s">
        <v>56</v>
      </c>
      <c r="L3" s="17" t="s">
        <v>57</v>
      </c>
    </row>
    <row r="4" ht="22" customHeight="1" spans="1:12" x14ac:dyDescent="0.25">
      <c r="A4" s="19" t="s">
        <v>416</v>
      </c>
      <c r="B4" s="20" t="s">
        <v>417</v>
      </c>
      <c r="C4" s="20" t="s">
        <v>418</v>
      </c>
      <c r="D4" s="20" t="s">
        <v>419</v>
      </c>
      <c r="E4" s="20" t="s">
        <v>420</v>
      </c>
      <c r="F4" s="20" t="s">
        <v>421</v>
      </c>
      <c r="G4" s="20" t="s">
        <v>422</v>
      </c>
      <c r="H4" s="25" t="s">
        <v>30</v>
      </c>
      <c r="I4" s="10" t="s">
        <v>65</v>
      </c>
      <c r="J4" s="20" t="s">
        <v>64</v>
      </c>
      <c r="K4" s="20" t="s">
        <v>423</v>
      </c>
      <c r="L4" s="20" t="s">
        <v>185</v>
      </c>
    </row>
    <row r="5" ht="22" customHeight="1" spans="1:12" x14ac:dyDescent="0.25">
      <c r="A5" s="22" t="s">
        <v>424</v>
      </c>
      <c r="B5" s="23" t="s">
        <v>425</v>
      </c>
      <c r="C5" s="23" t="s">
        <v>426</v>
      </c>
      <c r="D5" s="23" t="s">
        <v>427</v>
      </c>
      <c r="E5" s="23" t="s">
        <v>428</v>
      </c>
      <c r="F5" s="23" t="s">
        <v>429</v>
      </c>
      <c r="G5" s="23" t="s">
        <v>430</v>
      </c>
      <c r="H5" s="25" t="s">
        <v>30</v>
      </c>
      <c r="I5" s="12" t="s">
        <v>65</v>
      </c>
      <c r="J5" s="23" t="s">
        <v>64</v>
      </c>
      <c r="K5" s="23" t="s">
        <v>423</v>
      </c>
      <c r="L5" s="23" t="s">
        <v>185</v>
      </c>
    </row>
    <row r="6" ht="22" customHeight="1" spans="1:12" x14ac:dyDescent="0.25">
      <c r="A6" s="19" t="s">
        <v>431</v>
      </c>
      <c r="B6" s="20" t="s">
        <v>432</v>
      </c>
      <c r="C6" s="20" t="s">
        <v>433</v>
      </c>
      <c r="D6" s="20" t="s">
        <v>434</v>
      </c>
      <c r="E6" s="20" t="s">
        <v>435</v>
      </c>
      <c r="F6" s="20" t="s">
        <v>436</v>
      </c>
      <c r="G6" s="20" t="s">
        <v>437</v>
      </c>
      <c r="H6" s="25" t="s">
        <v>30</v>
      </c>
      <c r="I6" s="10" t="s">
        <v>65</v>
      </c>
      <c r="J6" s="20" t="s">
        <v>64</v>
      </c>
      <c r="K6" s="20" t="s">
        <v>423</v>
      </c>
      <c r="L6" s="20" t="s">
        <v>185</v>
      </c>
    </row>
    <row r="7" ht="22" customHeight="1" spans="1:12" x14ac:dyDescent="0.25">
      <c r="A7" s="22" t="s">
        <v>438</v>
      </c>
      <c r="B7" s="23" t="s">
        <v>439</v>
      </c>
      <c r="C7" s="23" t="s">
        <v>440</v>
      </c>
      <c r="D7" s="23" t="s">
        <v>441</v>
      </c>
      <c r="E7" s="23" t="s">
        <v>442</v>
      </c>
      <c r="F7" s="23" t="s">
        <v>443</v>
      </c>
      <c r="G7" s="23" t="s">
        <v>444</v>
      </c>
      <c r="H7" s="25" t="s">
        <v>30</v>
      </c>
      <c r="I7" s="12" t="s">
        <v>65</v>
      </c>
      <c r="J7" s="23" t="s">
        <v>64</v>
      </c>
      <c r="K7" s="23" t="s">
        <v>423</v>
      </c>
      <c r="L7" s="23" t="s">
        <v>185</v>
      </c>
    </row>
    <row r="8" ht="22" customHeight="1" spans="1:12" x14ac:dyDescent="0.25">
      <c r="A8" s="19" t="s">
        <v>445</v>
      </c>
      <c r="B8" s="20" t="s">
        <v>446</v>
      </c>
      <c r="C8" s="20" t="s">
        <v>447</v>
      </c>
      <c r="D8" s="20" t="s">
        <v>448</v>
      </c>
      <c r="E8" s="20" t="s">
        <v>449</v>
      </c>
      <c r="F8" s="20" t="s">
        <v>450</v>
      </c>
      <c r="G8" s="20" t="s">
        <v>451</v>
      </c>
      <c r="H8" s="25" t="s">
        <v>30</v>
      </c>
      <c r="I8" s="10" t="s">
        <v>65</v>
      </c>
      <c r="J8" s="20" t="s">
        <v>64</v>
      </c>
      <c r="K8" s="20" t="s">
        <v>423</v>
      </c>
      <c r="L8" s="20" t="s">
        <v>185</v>
      </c>
    </row>
    <row r="9" ht="22" customHeight="1" spans="1:12" x14ac:dyDescent="0.25">
      <c r="A9" s="22" t="s">
        <v>452</v>
      </c>
      <c r="B9" s="23" t="s">
        <v>453</v>
      </c>
      <c r="C9" s="23" t="s">
        <v>454</v>
      </c>
      <c r="D9" s="23" t="s">
        <v>455</v>
      </c>
      <c r="E9" s="23" t="s">
        <v>456</v>
      </c>
      <c r="F9" s="23" t="s">
        <v>457</v>
      </c>
      <c r="G9" s="23" t="s">
        <v>458</v>
      </c>
      <c r="H9" s="25" t="s">
        <v>30</v>
      </c>
      <c r="I9" s="12" t="s">
        <v>65</v>
      </c>
      <c r="J9" s="23" t="s">
        <v>64</v>
      </c>
      <c r="K9" s="23" t="s">
        <v>423</v>
      </c>
      <c r="L9" s="23" t="s">
        <v>185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2" customWidth="1"/>
    <col min="5" max="5" width="44" customWidth="1"/>
    <col min="6" max="6" width="42" customWidth="1"/>
    <col min="7" max="7" width="4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</cols>
  <sheetData>
    <row r="1" ht="30" customHeight="1" spans="1:12" x14ac:dyDescent="0.25">
      <c r="A1" s="1" t="s">
        <v>459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460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7" t="s">
        <v>46</v>
      </c>
      <c r="B3" s="17" t="s">
        <v>47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8" t="s">
        <v>53</v>
      </c>
      <c r="I3" s="18" t="s">
        <v>54</v>
      </c>
      <c r="J3" s="17" t="s">
        <v>55</v>
      </c>
      <c r="K3" s="17" t="s">
        <v>56</v>
      </c>
      <c r="L3" s="17" t="s">
        <v>57</v>
      </c>
    </row>
    <row r="4" ht="22" customHeight="1" spans="1:12" x14ac:dyDescent="0.25">
      <c r="A4" s="19" t="s">
        <v>461</v>
      </c>
      <c r="B4" s="20" t="s">
        <v>178</v>
      </c>
      <c r="C4" s="20" t="s">
        <v>462</v>
      </c>
      <c r="D4" s="20" t="s">
        <v>463</v>
      </c>
      <c r="E4" s="20" t="s">
        <v>464</v>
      </c>
      <c r="F4" s="20" t="s">
        <v>465</v>
      </c>
      <c r="G4" s="20" t="s">
        <v>466</v>
      </c>
      <c r="H4" s="25" t="s">
        <v>30</v>
      </c>
      <c r="I4" s="10" t="s">
        <v>65</v>
      </c>
      <c r="J4" s="20" t="s">
        <v>64</v>
      </c>
      <c r="K4" s="20" t="s">
        <v>264</v>
      </c>
      <c r="L4" s="20" t="s">
        <v>185</v>
      </c>
    </row>
    <row r="5" ht="22" customHeight="1" spans="1:12" x14ac:dyDescent="0.25">
      <c r="A5" s="22" t="s">
        <v>467</v>
      </c>
      <c r="B5" s="23" t="s">
        <v>244</v>
      </c>
      <c r="C5" s="23" t="s">
        <v>468</v>
      </c>
      <c r="D5" s="23" t="s">
        <v>469</v>
      </c>
      <c r="E5" s="23" t="s">
        <v>470</v>
      </c>
      <c r="F5" s="23" t="s">
        <v>471</v>
      </c>
      <c r="G5" s="23" t="s">
        <v>472</v>
      </c>
      <c r="H5" s="25" t="s">
        <v>30</v>
      </c>
      <c r="I5" s="12" t="s">
        <v>65</v>
      </c>
      <c r="J5" s="23" t="s">
        <v>64</v>
      </c>
      <c r="K5" s="23" t="s">
        <v>264</v>
      </c>
      <c r="L5" s="23" t="s">
        <v>185</v>
      </c>
    </row>
    <row r="6" ht="22" customHeight="1" spans="1:12" x14ac:dyDescent="0.25">
      <c r="A6" s="19" t="s">
        <v>473</v>
      </c>
      <c r="B6" s="20" t="s">
        <v>446</v>
      </c>
      <c r="C6" s="20" t="s">
        <v>474</v>
      </c>
      <c r="D6" s="20" t="s">
        <v>475</v>
      </c>
      <c r="E6" s="20" t="s">
        <v>476</v>
      </c>
      <c r="F6" s="20" t="s">
        <v>477</v>
      </c>
      <c r="G6" s="20" t="s">
        <v>478</v>
      </c>
      <c r="H6" s="25" t="s">
        <v>30</v>
      </c>
      <c r="I6" s="10" t="s">
        <v>65</v>
      </c>
      <c r="J6" s="20" t="s">
        <v>64</v>
      </c>
      <c r="K6" s="20" t="s">
        <v>264</v>
      </c>
      <c r="L6" s="20" t="s">
        <v>185</v>
      </c>
    </row>
    <row r="7" ht="22" customHeight="1" spans="1:12" x14ac:dyDescent="0.25">
      <c r="A7" s="22" t="s">
        <v>479</v>
      </c>
      <c r="B7" s="23" t="s">
        <v>480</v>
      </c>
      <c r="C7" s="23" t="s">
        <v>481</v>
      </c>
      <c r="D7" s="23" t="s">
        <v>482</v>
      </c>
      <c r="E7" s="23" t="s">
        <v>483</v>
      </c>
      <c r="F7" s="23" t="s">
        <v>484</v>
      </c>
      <c r="G7" s="23" t="s">
        <v>485</v>
      </c>
      <c r="H7" s="25" t="s">
        <v>30</v>
      </c>
      <c r="I7" s="12" t="s">
        <v>65</v>
      </c>
      <c r="J7" s="23" t="s">
        <v>64</v>
      </c>
      <c r="K7" s="23" t="s">
        <v>264</v>
      </c>
      <c r="L7" s="23" t="s">
        <v>185</v>
      </c>
    </row>
    <row r="8" ht="22" customHeight="1" spans="1:12" x14ac:dyDescent="0.25">
      <c r="A8" s="19" t="s">
        <v>486</v>
      </c>
      <c r="B8" s="20" t="s">
        <v>487</v>
      </c>
      <c r="C8" s="20" t="s">
        <v>488</v>
      </c>
      <c r="D8" s="20" t="s">
        <v>489</v>
      </c>
      <c r="E8" s="20" t="s">
        <v>490</v>
      </c>
      <c r="F8" s="20" t="s">
        <v>491</v>
      </c>
      <c r="G8" s="20" t="s">
        <v>492</v>
      </c>
      <c r="H8" s="25" t="s">
        <v>30</v>
      </c>
      <c r="I8" s="10" t="s">
        <v>65</v>
      </c>
      <c r="J8" s="20" t="s">
        <v>64</v>
      </c>
      <c r="K8" s="20" t="s">
        <v>264</v>
      </c>
      <c r="L8" s="20" t="s">
        <v>185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2" customWidth="1"/>
    <col min="5" max="5" width="44" customWidth="1"/>
    <col min="6" max="6" width="42" customWidth="1"/>
    <col min="7" max="7" width="4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</cols>
  <sheetData>
    <row r="1" ht="30" customHeight="1" spans="1:12" x14ac:dyDescent="0.25">
      <c r="A1" s="1" t="s">
        <v>493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494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7" t="s">
        <v>46</v>
      </c>
      <c r="B3" s="17" t="s">
        <v>47</v>
      </c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8" t="s">
        <v>53</v>
      </c>
      <c r="I3" s="18" t="s">
        <v>54</v>
      </c>
      <c r="J3" s="17" t="s">
        <v>55</v>
      </c>
      <c r="K3" s="17" t="s">
        <v>56</v>
      </c>
      <c r="L3" s="17" t="s">
        <v>57</v>
      </c>
    </row>
    <row r="4" ht="22" customHeight="1" spans="1:12" x14ac:dyDescent="0.25">
      <c r="A4" s="19" t="s">
        <v>495</v>
      </c>
      <c r="B4" s="20" t="s">
        <v>496</v>
      </c>
      <c r="C4" s="20" t="s">
        <v>497</v>
      </c>
      <c r="D4" s="20" t="s">
        <v>498</v>
      </c>
      <c r="E4" s="20" t="s">
        <v>261</v>
      </c>
      <c r="F4" s="20" t="s">
        <v>499</v>
      </c>
      <c r="G4" s="20" t="s">
        <v>500</v>
      </c>
      <c r="H4" s="25" t="s">
        <v>30</v>
      </c>
      <c r="I4" s="10" t="s">
        <v>65</v>
      </c>
      <c r="J4" s="20" t="s">
        <v>64</v>
      </c>
      <c r="K4" s="20" t="s">
        <v>264</v>
      </c>
      <c r="L4" s="20" t="s">
        <v>185</v>
      </c>
    </row>
    <row r="5" ht="22" customHeight="1" spans="1:12" x14ac:dyDescent="0.25">
      <c r="A5" s="22" t="s">
        <v>501</v>
      </c>
      <c r="B5" s="23" t="s">
        <v>496</v>
      </c>
      <c r="C5" s="23" t="s">
        <v>502</v>
      </c>
      <c r="D5" s="23" t="s">
        <v>498</v>
      </c>
      <c r="E5" s="23" t="s">
        <v>503</v>
      </c>
      <c r="F5" s="23" t="s">
        <v>504</v>
      </c>
      <c r="G5" s="23" t="s">
        <v>505</v>
      </c>
      <c r="H5" s="25" t="s">
        <v>30</v>
      </c>
      <c r="I5" s="12" t="s">
        <v>65</v>
      </c>
      <c r="J5" s="23" t="s">
        <v>64</v>
      </c>
      <c r="K5" s="23" t="s">
        <v>264</v>
      </c>
      <c r="L5" s="23" t="s">
        <v>185</v>
      </c>
    </row>
    <row r="6" ht="22" customHeight="1" spans="1:12" x14ac:dyDescent="0.25">
      <c r="A6" s="19" t="s">
        <v>506</v>
      </c>
      <c r="B6" s="20" t="s">
        <v>496</v>
      </c>
      <c r="C6" s="20" t="s">
        <v>507</v>
      </c>
      <c r="D6" s="20" t="s">
        <v>498</v>
      </c>
      <c r="E6" s="20" t="s">
        <v>508</v>
      </c>
      <c r="F6" s="20" t="s">
        <v>509</v>
      </c>
      <c r="G6" s="20" t="s">
        <v>510</v>
      </c>
      <c r="H6" s="25" t="s">
        <v>30</v>
      </c>
      <c r="I6" s="10" t="s">
        <v>65</v>
      </c>
      <c r="J6" s="20" t="s">
        <v>64</v>
      </c>
      <c r="K6" s="20" t="s">
        <v>264</v>
      </c>
      <c r="L6" s="20" t="s">
        <v>185</v>
      </c>
    </row>
    <row r="7" ht="22" customHeight="1" spans="1:12" x14ac:dyDescent="0.25">
      <c r="A7" s="22" t="s">
        <v>511</v>
      </c>
      <c r="B7" s="23" t="s">
        <v>496</v>
      </c>
      <c r="C7" s="23" t="s">
        <v>512</v>
      </c>
      <c r="D7" s="23" t="s">
        <v>498</v>
      </c>
      <c r="E7" s="23" t="s">
        <v>276</v>
      </c>
      <c r="F7" s="23" t="s">
        <v>513</v>
      </c>
      <c r="G7" s="23" t="s">
        <v>514</v>
      </c>
      <c r="H7" s="25" t="s">
        <v>30</v>
      </c>
      <c r="I7" s="12" t="s">
        <v>65</v>
      </c>
      <c r="J7" s="23" t="s">
        <v>64</v>
      </c>
      <c r="K7" s="23" t="s">
        <v>264</v>
      </c>
      <c r="L7" s="23" t="s">
        <v>185</v>
      </c>
    </row>
    <row r="8" ht="22" customHeight="1" spans="1:12" x14ac:dyDescent="0.25">
      <c r="A8" s="19" t="s">
        <v>515</v>
      </c>
      <c r="B8" s="20" t="s">
        <v>496</v>
      </c>
      <c r="C8" s="20" t="s">
        <v>516</v>
      </c>
      <c r="D8" s="20" t="s">
        <v>498</v>
      </c>
      <c r="E8" s="20" t="s">
        <v>269</v>
      </c>
      <c r="F8" s="20" t="s">
        <v>517</v>
      </c>
      <c r="G8" s="20" t="s">
        <v>518</v>
      </c>
      <c r="H8" s="25" t="s">
        <v>30</v>
      </c>
      <c r="I8" s="10" t="s">
        <v>65</v>
      </c>
      <c r="J8" s="20" t="s">
        <v>64</v>
      </c>
      <c r="K8" s="20" t="s">
        <v>264</v>
      </c>
      <c r="L8" s="20" t="s">
        <v>185</v>
      </c>
    </row>
    <row r="9" ht="22" customHeight="1" spans="1:12" x14ac:dyDescent="0.25">
      <c r="A9" s="22" t="s">
        <v>519</v>
      </c>
      <c r="B9" s="23" t="s">
        <v>496</v>
      </c>
      <c r="C9" s="23" t="s">
        <v>520</v>
      </c>
      <c r="D9" s="23" t="s">
        <v>498</v>
      </c>
      <c r="E9" s="23" t="s">
        <v>521</v>
      </c>
      <c r="F9" s="23" t="s">
        <v>522</v>
      </c>
      <c r="G9" s="23" t="s">
        <v>523</v>
      </c>
      <c r="H9" s="25" t="s">
        <v>30</v>
      </c>
      <c r="I9" s="12" t="s">
        <v>65</v>
      </c>
      <c r="J9" s="23" t="s">
        <v>64</v>
      </c>
      <c r="K9" s="23" t="s">
        <v>264</v>
      </c>
      <c r="L9" s="23" t="s">
        <v>185</v>
      </c>
    </row>
    <row r="10" ht="22" customHeight="1" spans="1:12" x14ac:dyDescent="0.25">
      <c r="A10" s="19" t="s">
        <v>524</v>
      </c>
      <c r="B10" s="20" t="s">
        <v>525</v>
      </c>
      <c r="C10" s="20" t="s">
        <v>526</v>
      </c>
      <c r="D10" s="20" t="s">
        <v>498</v>
      </c>
      <c r="E10" s="20" t="s">
        <v>303</v>
      </c>
      <c r="F10" s="20" t="s">
        <v>527</v>
      </c>
      <c r="G10" s="20" t="s">
        <v>528</v>
      </c>
      <c r="H10" s="25" t="s">
        <v>30</v>
      </c>
      <c r="I10" s="10" t="s">
        <v>65</v>
      </c>
      <c r="J10" s="20" t="s">
        <v>64</v>
      </c>
      <c r="K10" s="20" t="s">
        <v>264</v>
      </c>
      <c r="L10" s="20" t="s">
        <v>185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6" customWidth="1"/>
    <col min="4" max="4" width="22" customWidth="1"/>
    <col min="5" max="5" width="40" customWidth="1"/>
    <col min="6" max="7" width="36" customWidth="1"/>
    <col min="8" max="8" width="14" customWidth="1"/>
    <col min="9" max="9" width="12" customWidth="1"/>
    <col min="10" max="10" width="16" customWidth="1"/>
    <col min="11" max="12" width="14" customWidth="1"/>
  </cols>
  <sheetData>
    <row r="1" ht="30" customHeight="1" spans="1:12" x14ac:dyDescent="0.25">
      <c r="A1" s="1" t="s">
        <v>529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6" t="s">
        <v>530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4" customHeight="1" spans="1:12" x14ac:dyDescent="0.25">
      <c r="A3" s="18" t="s">
        <v>55</v>
      </c>
      <c r="B3" s="17" t="s">
        <v>531</v>
      </c>
      <c r="C3" s="17" t="s">
        <v>532</v>
      </c>
      <c r="D3" s="17" t="s">
        <v>533</v>
      </c>
      <c r="E3" s="17" t="s">
        <v>534</v>
      </c>
      <c r="F3" s="17" t="s">
        <v>535</v>
      </c>
      <c r="G3" s="17" t="s">
        <v>536</v>
      </c>
      <c r="H3" s="18" t="s">
        <v>53</v>
      </c>
      <c r="I3" s="18" t="s">
        <v>537</v>
      </c>
      <c r="J3" s="17" t="s">
        <v>538</v>
      </c>
      <c r="K3" s="17" t="s">
        <v>539</v>
      </c>
      <c r="L3" s="17" t="s">
        <v>540</v>
      </c>
    </row>
    <row r="4" ht="24" customHeight="1" spans="1:12" x14ac:dyDescent="0.25">
      <c r="A4" s="19" t="s">
        <v>541</v>
      </c>
      <c r="B4" s="10" t="s">
        <v>542</v>
      </c>
      <c r="C4" s="20" t="s">
        <v>543</v>
      </c>
      <c r="D4" s="20" t="s">
        <v>544</v>
      </c>
      <c r="E4" s="20" t="s">
        <v>545</v>
      </c>
      <c r="F4" s="20" t="s">
        <v>546</v>
      </c>
      <c r="G4" s="20" t="s">
        <v>547</v>
      </c>
      <c r="H4" s="25" t="s">
        <v>548</v>
      </c>
      <c r="I4" s="10" t="s">
        <v>549</v>
      </c>
      <c r="J4" s="20" t="s">
        <v>550</v>
      </c>
      <c r="K4" s="10" t="s">
        <v>551</v>
      </c>
      <c r="L4" s="25" t="s">
        <v>552</v>
      </c>
    </row>
    <row r="5" ht="24" customHeight="1" spans="1:12" x14ac:dyDescent="0.25">
      <c r="A5" s="22" t="s">
        <v>553</v>
      </c>
      <c r="B5" s="12" t="s">
        <v>554</v>
      </c>
      <c r="C5" s="23" t="s">
        <v>555</v>
      </c>
      <c r="D5" s="23" t="s">
        <v>556</v>
      </c>
      <c r="E5" s="23" t="s">
        <v>557</v>
      </c>
      <c r="F5" s="23" t="s">
        <v>558</v>
      </c>
      <c r="G5" s="23" t="s">
        <v>559</v>
      </c>
      <c r="H5" s="25" t="s">
        <v>548</v>
      </c>
      <c r="I5" s="12" t="s">
        <v>560</v>
      </c>
      <c r="J5" s="23" t="s">
        <v>561</v>
      </c>
      <c r="K5" s="12" t="s">
        <v>551</v>
      </c>
      <c r="L5" s="25" t="s">
        <v>552</v>
      </c>
    </row>
    <row r="6" ht="24" customHeight="1" spans="1:12" x14ac:dyDescent="0.25">
      <c r="A6" s="19" t="s">
        <v>562</v>
      </c>
      <c r="B6" s="10" t="s">
        <v>185</v>
      </c>
      <c r="C6" s="20" t="s">
        <v>563</v>
      </c>
      <c r="D6" s="20" t="s">
        <v>564</v>
      </c>
      <c r="E6" s="20" t="s">
        <v>565</v>
      </c>
      <c r="F6" s="20" t="s">
        <v>566</v>
      </c>
      <c r="G6" s="20" t="s">
        <v>567</v>
      </c>
      <c r="H6" s="25" t="s">
        <v>548</v>
      </c>
      <c r="I6" s="10" t="s">
        <v>560</v>
      </c>
      <c r="J6" s="20" t="s">
        <v>568</v>
      </c>
      <c r="K6" s="10" t="s">
        <v>551</v>
      </c>
      <c r="L6" s="25" t="s">
        <v>552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Summary</vt:lpstr>
      <vt:lpstr>Manual UI</vt:lpstr>
      <vt:lpstr>Postman API</vt:lpstr>
      <vt:lpstr>Unit Tests</vt:lpstr>
      <vt:lpstr>Integration</vt:lpstr>
      <vt:lpstr>E2E Tests</vt:lpstr>
      <vt:lpstr>Database Checks</vt:lpstr>
      <vt:lpstr>Security</vt:lpstr>
      <vt:lpstr>Regression</vt:lpstr>
      <vt:lpstr>Bug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TexaWave ERP Core Engineering</dc:creator>
  <dc:title/>
  <dc:subject/>
  <dc:description/>
  <cp:keywords/>
  <cp:category/>
  <cp:lastModifiedBy>Antigravity Test Automation</cp:lastModifiedBy>
  <dcterms:created xsi:type="dcterms:W3CDTF">2026-10-27T12:24:07Z</dcterms:created>
  <dcterms:modified xsi:type="dcterms:W3CDTF">2026-10-27T12:24:07Z</dcterms:modified>
</cp:coreProperties>
</file>